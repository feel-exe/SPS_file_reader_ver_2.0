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vlt_txt_excel\"/>
    </mc:Choice>
  </mc:AlternateContent>
  <xr:revisionPtr revIDLastSave="0" documentId="13_ncr:40009_{6E583E1C-BCBB-48BE-985D-C74197C960D6}" xr6:coauthVersionLast="47" xr6:coauthVersionMax="47" xr10:uidLastSave="{00000000-0000-0000-0000-000000000000}"/>
  <bookViews>
    <workbookView xWindow="-120" yWindow="-120" windowWidth="29040" windowHeight="15840"/>
  </bookViews>
  <sheets>
    <sheet name="vlt" sheetId="1" r:id="rId1"/>
    <sheet name="TXT" sheetId="2" r:id="rId2"/>
  </sheets>
  <calcPr calcId="0"/>
</workbook>
</file>

<file path=xl/calcChain.xml><?xml version="1.0" encoding="utf-8"?>
<calcChain xmlns="http://schemas.openxmlformats.org/spreadsheetml/2006/main">
  <c r="E220" i="1" l="1"/>
  <c r="O221" i="1"/>
  <c r="E221" i="1"/>
  <c r="O220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Y31" i="1"/>
  <c r="Z31" i="1"/>
  <c r="Y32" i="1"/>
  <c r="Z32" i="1"/>
  <c r="Y33" i="1"/>
  <c r="Z33" i="1"/>
  <c r="Y34" i="1"/>
  <c r="Z34" i="1"/>
  <c r="Y35" i="1"/>
  <c r="Z35" i="1"/>
  <c r="Y36" i="1"/>
  <c r="Z36" i="1"/>
  <c r="Y37" i="1"/>
  <c r="Z37" i="1" s="1"/>
  <c r="Y38" i="1"/>
  <c r="Z38" i="1"/>
  <c r="Y39" i="1"/>
  <c r="Z39" i="1"/>
  <c r="Y40" i="1"/>
  <c r="Z40" i="1"/>
  <c r="Y41" i="1"/>
  <c r="Z41" i="1"/>
  <c r="Y42" i="1"/>
  <c r="Z42" i="1"/>
  <c r="Y43" i="1"/>
  <c r="Z43" i="1"/>
  <c r="Y44" i="1"/>
  <c r="Z44" i="1"/>
  <c r="Y45" i="1"/>
  <c r="Z45" i="1"/>
  <c r="Y46" i="1"/>
  <c r="Z46" i="1"/>
  <c r="Y47" i="1"/>
  <c r="Z47" i="1"/>
  <c r="Y48" i="1"/>
  <c r="Z48" i="1"/>
  <c r="Y49" i="1"/>
  <c r="Z49" i="1"/>
  <c r="Y50" i="1"/>
  <c r="Z50" i="1"/>
  <c r="Y51" i="1"/>
  <c r="Z51" i="1"/>
  <c r="Y52" i="1"/>
  <c r="Z52" i="1"/>
  <c r="Y53" i="1"/>
  <c r="Z53" i="1"/>
  <c r="Y54" i="1"/>
  <c r="Z54" i="1"/>
  <c r="Y55" i="1"/>
  <c r="Z55" i="1"/>
  <c r="Y56" i="1"/>
  <c r="Z56" i="1"/>
  <c r="Y57" i="1"/>
  <c r="Z57" i="1"/>
  <c r="Y58" i="1"/>
  <c r="Z58" i="1"/>
  <c r="Y59" i="1"/>
  <c r="Z59" i="1"/>
  <c r="Y60" i="1"/>
  <c r="Z60" i="1"/>
  <c r="Y61" i="1"/>
  <c r="Z61" i="1"/>
  <c r="Y62" i="1"/>
  <c r="Z62" i="1"/>
  <c r="Y63" i="1"/>
  <c r="Z63" i="1"/>
  <c r="Y64" i="1"/>
  <c r="Z64" i="1"/>
  <c r="Y65" i="1"/>
  <c r="Z65" i="1"/>
  <c r="Y66" i="1"/>
  <c r="Z66" i="1"/>
  <c r="Y67" i="1"/>
  <c r="Z67" i="1"/>
  <c r="Y68" i="1"/>
  <c r="Z68" i="1"/>
  <c r="Y69" i="1"/>
  <c r="Z69" i="1"/>
  <c r="Y70" i="1"/>
  <c r="Z70" i="1"/>
  <c r="Y71" i="1"/>
  <c r="Z71" i="1"/>
  <c r="Y72" i="1"/>
  <c r="Z72" i="1"/>
  <c r="Y73" i="1"/>
  <c r="Z73" i="1" s="1"/>
  <c r="Y74" i="1"/>
  <c r="Z74" i="1"/>
  <c r="Y75" i="1"/>
  <c r="Z75" i="1"/>
  <c r="Y76" i="1"/>
  <c r="Z76" i="1"/>
  <c r="Y77" i="1"/>
  <c r="Z77" i="1"/>
  <c r="Y78" i="1"/>
  <c r="Z78" i="1"/>
  <c r="Y79" i="1"/>
  <c r="Z79" i="1"/>
  <c r="Y80" i="1"/>
  <c r="Z80" i="1"/>
  <c r="Y81" i="1"/>
  <c r="Z81" i="1" s="1"/>
  <c r="Y82" i="1"/>
  <c r="Z82" i="1"/>
  <c r="Y83" i="1"/>
  <c r="Z83" i="1" s="1"/>
  <c r="Y84" i="1"/>
  <c r="Z84" i="1"/>
  <c r="Y85" i="1"/>
  <c r="Z85" i="1" s="1"/>
  <c r="Y86" i="1"/>
  <c r="Z86" i="1"/>
  <c r="Y87" i="1"/>
  <c r="Z87" i="1" s="1"/>
  <c r="Y88" i="1"/>
  <c r="Z88" i="1"/>
  <c r="Y89" i="1"/>
  <c r="Z89" i="1" s="1"/>
  <c r="Y90" i="1"/>
  <c r="Z90" i="1"/>
  <c r="Y91" i="1"/>
  <c r="Z91" i="1" s="1"/>
  <c r="Y92" i="1"/>
  <c r="Z92" i="1"/>
  <c r="Y93" i="1"/>
  <c r="Z93" i="1" s="1"/>
  <c r="Y94" i="1"/>
  <c r="Z94" i="1"/>
  <c r="Y95" i="1"/>
  <c r="Z95" i="1" s="1"/>
  <c r="Y96" i="1"/>
  <c r="Z96" i="1"/>
  <c r="Y97" i="1"/>
  <c r="Z97" i="1" s="1"/>
  <c r="Y98" i="1"/>
  <c r="Z98" i="1"/>
  <c r="Y99" i="1"/>
  <c r="Z99" i="1" s="1"/>
  <c r="Y100" i="1"/>
  <c r="Z100" i="1"/>
  <c r="Y101" i="1"/>
  <c r="Z101" i="1" s="1"/>
  <c r="Y102" i="1"/>
  <c r="Z102" i="1"/>
  <c r="Y103" i="1"/>
  <c r="Z103" i="1" s="1"/>
  <c r="Y104" i="1"/>
  <c r="Z104" i="1"/>
  <c r="Y105" i="1"/>
  <c r="Z105" i="1" s="1"/>
  <c r="Y106" i="1"/>
  <c r="Z106" i="1"/>
  <c r="Y107" i="1"/>
  <c r="Z107" i="1" s="1"/>
  <c r="Y108" i="1"/>
  <c r="Z108" i="1"/>
  <c r="Y109" i="1"/>
  <c r="Z109" i="1" s="1"/>
  <c r="Y110" i="1"/>
  <c r="Z110" i="1"/>
  <c r="Y111" i="1"/>
  <c r="Z111" i="1" s="1"/>
  <c r="Y112" i="1"/>
  <c r="Z112" i="1"/>
  <c r="Y113" i="1"/>
  <c r="Z113" i="1" s="1"/>
  <c r="Y114" i="1"/>
  <c r="Z114" i="1"/>
  <c r="Y115" i="1"/>
  <c r="Z115" i="1" s="1"/>
  <c r="Y116" i="1"/>
  <c r="Z116" i="1"/>
  <c r="Y117" i="1"/>
  <c r="Z117" i="1" s="1"/>
  <c r="Y118" i="1"/>
  <c r="Z118" i="1"/>
  <c r="Y119" i="1"/>
  <c r="Z119" i="1" s="1"/>
  <c r="Y120" i="1"/>
  <c r="Z120" i="1"/>
  <c r="Y121" i="1"/>
  <c r="Z121" i="1" s="1"/>
  <c r="Y122" i="1"/>
  <c r="Z122" i="1"/>
  <c r="Y123" i="1"/>
  <c r="Z123" i="1" s="1"/>
  <c r="Y124" i="1"/>
  <c r="Z124" i="1"/>
  <c r="Y125" i="1"/>
  <c r="Z125" i="1" s="1"/>
  <c r="Y126" i="1"/>
  <c r="Z126" i="1"/>
  <c r="Y127" i="1"/>
  <c r="Z127" i="1" s="1"/>
  <c r="Y128" i="1"/>
  <c r="Z128" i="1"/>
  <c r="Y129" i="1"/>
  <c r="Z129" i="1" s="1"/>
  <c r="Y130" i="1"/>
  <c r="Z130" i="1"/>
  <c r="Y131" i="1"/>
  <c r="Z131" i="1" s="1"/>
  <c r="Y132" i="1"/>
  <c r="Z132" i="1"/>
  <c r="Y133" i="1"/>
  <c r="Z133" i="1" s="1"/>
  <c r="Y134" i="1"/>
  <c r="Z134" i="1"/>
  <c r="Y135" i="1"/>
  <c r="Z135" i="1" s="1"/>
  <c r="Y136" i="1"/>
  <c r="Z136" i="1"/>
  <c r="Y137" i="1"/>
  <c r="Z137" i="1" s="1"/>
  <c r="Y138" i="1"/>
  <c r="Z138" i="1"/>
  <c r="Y139" i="1"/>
  <c r="Z139" i="1" s="1"/>
  <c r="Y140" i="1"/>
  <c r="Z140" i="1"/>
  <c r="Y141" i="1"/>
  <c r="Z141" i="1" s="1"/>
  <c r="Y142" i="1"/>
  <c r="Z142" i="1"/>
  <c r="Y143" i="1"/>
  <c r="Z143" i="1" s="1"/>
  <c r="Y144" i="1"/>
  <c r="Z144" i="1"/>
  <c r="Y145" i="1"/>
  <c r="Z145" i="1" s="1"/>
  <c r="Y146" i="1"/>
  <c r="Z146" i="1"/>
  <c r="Y147" i="1"/>
  <c r="Z147" i="1" s="1"/>
  <c r="Y148" i="1"/>
  <c r="Z148" i="1"/>
  <c r="Y149" i="1"/>
  <c r="Z149" i="1" s="1"/>
  <c r="Y150" i="1"/>
  <c r="Z150" i="1"/>
  <c r="Y151" i="1"/>
  <c r="Z151" i="1" s="1"/>
  <c r="Y152" i="1"/>
  <c r="Z152" i="1"/>
  <c r="Y153" i="1"/>
  <c r="Z153" i="1" s="1"/>
  <c r="Y154" i="1"/>
  <c r="Z154" i="1"/>
  <c r="Y155" i="1"/>
  <c r="Z155" i="1" s="1"/>
  <c r="Y156" i="1"/>
  <c r="Z156" i="1"/>
  <c r="Y157" i="1"/>
  <c r="Z157" i="1" s="1"/>
  <c r="Y158" i="1"/>
  <c r="Z158" i="1"/>
  <c r="Y159" i="1"/>
  <c r="Z159" i="1" s="1"/>
  <c r="Y160" i="1"/>
  <c r="Z160" i="1"/>
  <c r="Y161" i="1"/>
  <c r="Z161" i="1" s="1"/>
  <c r="Y162" i="1"/>
  <c r="Z162" i="1"/>
  <c r="Y163" i="1"/>
  <c r="Z163" i="1" s="1"/>
  <c r="Y164" i="1"/>
  <c r="Z164" i="1"/>
  <c r="Y165" i="1"/>
  <c r="Z165" i="1" s="1"/>
  <c r="Y166" i="1"/>
  <c r="Z166" i="1"/>
  <c r="Y167" i="1"/>
  <c r="Z167" i="1" s="1"/>
  <c r="Y168" i="1"/>
  <c r="Z168" i="1"/>
  <c r="Y169" i="1"/>
  <c r="Z169" i="1" s="1"/>
  <c r="Y170" i="1"/>
  <c r="Z170" i="1"/>
  <c r="Y171" i="1"/>
  <c r="Z171" i="1" s="1"/>
  <c r="Y172" i="1"/>
  <c r="Z172" i="1"/>
  <c r="Y173" i="1"/>
  <c r="Z173" i="1" s="1"/>
  <c r="Y174" i="1"/>
  <c r="Z174" i="1"/>
  <c r="Y175" i="1"/>
  <c r="Z175" i="1" s="1"/>
  <c r="Y176" i="1"/>
  <c r="Z176" i="1"/>
  <c r="Y177" i="1"/>
  <c r="Z177" i="1" s="1"/>
  <c r="Y178" i="1"/>
  <c r="Z178" i="1"/>
  <c r="Y179" i="1"/>
  <c r="Z179" i="1" s="1"/>
  <c r="Y180" i="1"/>
  <c r="Z180" i="1"/>
  <c r="Y181" i="1"/>
  <c r="Z181" i="1" s="1"/>
  <c r="Y182" i="1"/>
  <c r="Z182" i="1"/>
  <c r="Y183" i="1"/>
  <c r="Z183" i="1" s="1"/>
  <c r="Y184" i="1"/>
  <c r="Z184" i="1"/>
  <c r="Y185" i="1"/>
  <c r="Z185" i="1" s="1"/>
  <c r="Y186" i="1"/>
  <c r="Z186" i="1"/>
  <c r="Y187" i="1"/>
  <c r="Z187" i="1" s="1"/>
  <c r="Y188" i="1"/>
  <c r="Z188" i="1"/>
  <c r="Y189" i="1"/>
  <c r="Z189" i="1" s="1"/>
  <c r="Y190" i="1"/>
  <c r="Z190" i="1"/>
  <c r="Y191" i="1"/>
  <c r="Z191" i="1" s="1"/>
  <c r="Y192" i="1"/>
  <c r="Z192" i="1"/>
  <c r="Y193" i="1"/>
  <c r="Z193" i="1" s="1"/>
  <c r="Y194" i="1"/>
  <c r="Z194" i="1"/>
  <c r="Y195" i="1"/>
  <c r="Z195" i="1" s="1"/>
  <c r="Y196" i="1"/>
  <c r="Z196" i="1"/>
  <c r="Y197" i="1"/>
  <c r="Z197" i="1" s="1"/>
  <c r="Y198" i="1"/>
  <c r="Z198" i="1"/>
  <c r="Y199" i="1"/>
  <c r="Z199" i="1" s="1"/>
  <c r="Y200" i="1"/>
  <c r="Z200" i="1"/>
  <c r="Y201" i="1"/>
  <c r="Z201" i="1" s="1"/>
  <c r="Y202" i="1"/>
  <c r="Z202" i="1"/>
  <c r="Y203" i="1"/>
  <c r="Z203" i="1" s="1"/>
  <c r="Y204" i="1"/>
  <c r="Z204" i="1"/>
  <c r="Y205" i="1"/>
  <c r="Z205" i="1" s="1"/>
  <c r="Y4" i="1"/>
  <c r="Z4" i="1" s="1"/>
  <c r="Y5" i="1"/>
  <c r="Z5" i="1" s="1"/>
  <c r="Y6" i="1"/>
  <c r="Z6" i="1" s="1"/>
  <c r="Y7" i="1"/>
  <c r="Z7" i="1" s="1"/>
  <c r="Y8" i="1"/>
  <c r="Z8" i="1" s="1"/>
  <c r="Y9" i="1"/>
  <c r="Z9" i="1" s="1"/>
  <c r="Y10" i="1"/>
  <c r="Z10" i="1" s="1"/>
  <c r="Y11" i="1"/>
  <c r="Z11" i="1" s="1"/>
  <c r="Y12" i="1"/>
  <c r="Z12" i="1" s="1"/>
  <c r="Y13" i="1"/>
  <c r="Z13" i="1" s="1"/>
  <c r="Y14" i="1"/>
  <c r="Z14" i="1" s="1"/>
  <c r="Y15" i="1"/>
  <c r="Z15" i="1" s="1"/>
  <c r="Y16" i="1"/>
  <c r="Z16" i="1" s="1"/>
  <c r="Y17" i="1"/>
  <c r="Z17" i="1" s="1"/>
  <c r="Y18" i="1"/>
  <c r="Z18" i="1" s="1"/>
  <c r="Y19" i="1"/>
  <c r="Z19" i="1" s="1"/>
  <c r="J4" i="1"/>
  <c r="W5" i="1"/>
  <c r="W4" i="1"/>
  <c r="U5" i="1"/>
  <c r="U4" i="1"/>
</calcChain>
</file>

<file path=xl/sharedStrings.xml><?xml version="1.0" encoding="utf-8"?>
<sst xmlns="http://schemas.openxmlformats.org/spreadsheetml/2006/main" count="51" uniqueCount="38">
  <si>
    <t>021 г. 8:</t>
  </si>
  <si>
    <t>5,0 45 0</t>
  </si>
  <si>
    <t>1 0,000</t>
  </si>
  <si>
    <t>V 0 1 0,0</t>
  </si>
  <si>
    <t>00 V 2 1</t>
  </si>
  <si>
    <t>9 1,627435</t>
  </si>
  <si>
    <t>4 1,640592</t>
  </si>
  <si>
    <t>3 1,653420</t>
  </si>
  <si>
    <t>8 1,667564</t>
  </si>
  <si>
    <t>2 5,60911</t>
  </si>
  <si>
    <t>8 0,47651</t>
  </si>
  <si>
    <t>7 6,15448</t>
  </si>
  <si>
    <t>4 7,04983</t>
  </si>
  <si>
    <t>5 2,168850</t>
  </si>
  <si>
    <t>9 5,39991</t>
  </si>
  <si>
    <t>9 0,47684</t>
  </si>
  <si>
    <t>6 6,16961</t>
  </si>
  <si>
    <t>5 6,77846</t>
  </si>
  <si>
    <t>6 2,106354</t>
  </si>
  <si>
    <t>авг</t>
  </si>
  <si>
    <t>г.</t>
  </si>
  <si>
    <t>Hardware</t>
  </si>
  <si>
    <t>V</t>
  </si>
  <si>
    <t>OFF</t>
  </si>
  <si>
    <t>-</t>
  </si>
  <si>
    <t>MID</t>
  </si>
  <si>
    <t>0.02</t>
  </si>
  <si>
    <t>U</t>
  </si>
  <si>
    <t>I</t>
  </si>
  <si>
    <t>Т</t>
  </si>
  <si>
    <t>P</t>
  </si>
  <si>
    <t>L</t>
  </si>
  <si>
    <t>S</t>
  </si>
  <si>
    <t>Vac</t>
  </si>
  <si>
    <t>Vp</t>
  </si>
  <si>
    <t>Ap</t>
  </si>
  <si>
    <t>Np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</si>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</sst>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Times New Roman"/>
      <family val="2"/>
      <charset val="204"/>
    </font>
    <font>
      <b/>
      <sz val="13"/>
      <color theme="3"/>
      <name val="Times New Roman"/>
      <family val="2"/>
      <charset val="204"/>
    </font>
    <font>
      <b/>
      <sz val="11"/>
      <color theme="3"/>
      <name val="Times New Roman"/>
      <family val="2"/>
      <charset val="204"/>
    </font>
    <font>
      <sz val="12"/>
      <color rgb="FF006100"/>
      <name val="Times New Roman"/>
      <family val="2"/>
      <charset val="204"/>
    </font>
    <font>
      <sz val="12"/>
      <color rgb="FF9C0006"/>
      <name val="Times New Roman"/>
      <family val="2"/>
      <charset val="204"/>
    </font>
    <font>
      <sz val="12"/>
      <color rgb="FF9C5700"/>
      <name val="Times New Roman"/>
      <family val="2"/>
      <charset val="204"/>
    </font>
    <font>
      <sz val="12"/>
      <color rgb="FF3F3F76"/>
      <name val="Times New Roman"/>
      <family val="2"/>
      <charset val="204"/>
    </font>
    <font>
      <b/>
      <sz val="12"/>
      <color rgb="FF3F3F3F"/>
      <name val="Times New Roman"/>
      <family val="2"/>
      <charset val="204"/>
    </font>
    <font>
      <b/>
      <sz val="12"/>
      <color rgb="FFFA7D00"/>
      <name val="Times New Roman"/>
      <family val="2"/>
      <charset val="204"/>
    </font>
    <font>
      <sz val="12"/>
      <color rgb="FFFA7D00"/>
      <name val="Times New Roman"/>
      <family val="2"/>
      <charset val="204"/>
    </font>
    <font>
      <b/>
      <sz val="12"/>
      <color theme="0"/>
      <name val="Times New Roman"/>
      <family val="2"/>
      <charset val="204"/>
    </font>
    <font>
      <sz val="12"/>
      <color rgb="FFFF0000"/>
      <name val="Times New Roman"/>
      <family val="2"/>
      <charset val="204"/>
    </font>
    <font>
      <i/>
      <sz val="12"/>
      <color rgb="FF7F7F7F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5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21"/>
  <sheetViews>
    <sheetView tabSelected="1" zoomScale="85" zoomScaleNormal="85" workbookViewId="0">
      <selection activeCell="E221" sqref="E221"/>
    </sheetView>
  </sheetViews>
  <sheetFormatPr defaultRowHeight="15.75" x14ac:dyDescent="0.25"/>
  <cols>
    <col min="25" max="25" width="10.625" bestFit="1" customWidth="1"/>
  </cols>
  <sheetData>
    <row r="1" spans="1:27" x14ac:dyDescent="0.25">
      <c r="A1" s="1">
        <v>37494</v>
      </c>
      <c r="B1" t="s">
        <v>0</v>
      </c>
      <c r="C1">
        <v>48</v>
      </c>
      <c r="K1">
        <v>26</v>
      </c>
      <c r="L1" t="s">
        <v>19</v>
      </c>
      <c r="M1">
        <v>2021</v>
      </c>
      <c r="N1" t="s">
        <v>20</v>
      </c>
      <c r="O1" s="2">
        <v>0.3666666666666667</v>
      </c>
    </row>
    <row r="2" spans="1:27" x14ac:dyDescent="0.25">
      <c r="A2" s="1"/>
      <c r="K2" s="3" t="s">
        <v>27</v>
      </c>
      <c r="L2" s="3" t="s">
        <v>28</v>
      </c>
      <c r="M2" s="3" t="s">
        <v>29</v>
      </c>
      <c r="N2" s="3" t="s">
        <v>30</v>
      </c>
      <c r="O2" s="3" t="s">
        <v>31</v>
      </c>
      <c r="P2" s="3" t="s">
        <v>32</v>
      </c>
      <c r="Q2" s="3" t="s">
        <v>33</v>
      </c>
    </row>
    <row r="3" spans="1:27" x14ac:dyDescent="0.25">
      <c r="A3" t="s">
        <v>1</v>
      </c>
      <c r="B3" t="s">
        <v>2</v>
      </c>
      <c r="C3" t="s">
        <v>3</v>
      </c>
      <c r="D3" t="s">
        <v>4</v>
      </c>
      <c r="E3">
        <v>6</v>
      </c>
      <c r="K3">
        <v>5</v>
      </c>
      <c r="L3">
        <v>45</v>
      </c>
      <c r="M3" t="s">
        <v>21</v>
      </c>
      <c r="N3">
        <v>2</v>
      </c>
      <c r="O3">
        <v>0</v>
      </c>
      <c r="P3" t="s">
        <v>22</v>
      </c>
      <c r="Q3" t="s">
        <v>23</v>
      </c>
      <c r="U3" s="3" t="s">
        <v>27</v>
      </c>
      <c r="V3" s="3" t="s">
        <v>28</v>
      </c>
      <c r="W3" s="3" t="s">
        <v>29</v>
      </c>
      <c r="X3" s="3" t="s">
        <v>30</v>
      </c>
      <c r="Y3" s="3" t="s">
        <v>31</v>
      </c>
      <c r="Z3" s="3" t="s">
        <v>32</v>
      </c>
      <c r="AA3" s="3" t="s">
        <v>33</v>
      </c>
    </row>
    <row r="4" spans="1:27" x14ac:dyDescent="0.25">
      <c r="A4">
        <v>7.1370000000000001E-3</v>
      </c>
      <c r="B4">
        <v>2.8609999999999998E-3</v>
      </c>
      <c r="C4">
        <v>2.8586130000000001</v>
      </c>
      <c r="D4">
        <v>0.49756800000000001</v>
      </c>
      <c r="E4">
        <v>5.006189</v>
      </c>
      <c r="F4">
        <v>5.000597</v>
      </c>
      <c r="G4">
        <v>1.8501190000000001</v>
      </c>
      <c r="J4">
        <f>N4/D4</f>
        <v>10.100008441057302</v>
      </c>
      <c r="K4">
        <v>8.5649999999999997E-3</v>
      </c>
      <c r="L4">
        <v>1.573779</v>
      </c>
      <c r="M4">
        <v>571.722534</v>
      </c>
      <c r="N4">
        <v>5.0254409999999998</v>
      </c>
      <c r="O4">
        <v>1.2378999999999999E-2</v>
      </c>
      <c r="P4">
        <v>1.9999999999999999E-6</v>
      </c>
      <c r="Q4">
        <v>6.6682550000000003</v>
      </c>
      <c r="U4">
        <f>A4*1.2</f>
        <v>8.5643999999999998E-3</v>
      </c>
      <c r="W4">
        <f>C4*200</f>
        <v>571.72260000000006</v>
      </c>
      <c r="Y4">
        <f>(F4-5)*$X$12/5*1</f>
        <v>5.9699999999995867E-2</v>
      </c>
      <c r="Z4" s="4">
        <f>O4/Y4*100</f>
        <v>20.735343383586024</v>
      </c>
    </row>
    <row r="5" spans="1:27" x14ac:dyDescent="0.25">
      <c r="A5">
        <v>8.1239999999999993E-3</v>
      </c>
      <c r="B5">
        <v>2.532E-3</v>
      </c>
      <c r="C5">
        <v>2.8592710000000001</v>
      </c>
      <c r="D5">
        <v>0.50381799999999999</v>
      </c>
      <c r="E5">
        <v>5.0052029999999998</v>
      </c>
      <c r="F5">
        <v>5.0032290000000001</v>
      </c>
      <c r="G5">
        <v>1.8188709999999999</v>
      </c>
      <c r="K5">
        <v>9.7490000000000007E-3</v>
      </c>
      <c r="L5">
        <v>1.3928689999999999</v>
      </c>
      <c r="M5">
        <v>571.85412599999995</v>
      </c>
      <c r="N5">
        <v>5.0885619999999996</v>
      </c>
      <c r="O5">
        <v>1.0406E-2</v>
      </c>
      <c r="P5">
        <v>1.2999999999999999E-5</v>
      </c>
      <c r="Q5">
        <v>6.251614</v>
      </c>
      <c r="U5">
        <f t="shared" ref="U5" si="0">A5*1.2</f>
        <v>9.7487999999999984E-3</v>
      </c>
      <c r="W5">
        <f>C5*200</f>
        <v>571.85419999999999</v>
      </c>
      <c r="Y5">
        <f t="shared" ref="Y5:Y19" si="1">(F5-5)*$X$12/5*1</f>
        <v>0.32290000000001484</v>
      </c>
      <c r="Z5" s="4">
        <f t="shared" ref="Z5:Z19" si="2">O5/Y5*100</f>
        <v>3.2226695571382851</v>
      </c>
    </row>
    <row r="6" spans="1:27" x14ac:dyDescent="0.25">
      <c r="A6">
        <v>0.15022099999999999</v>
      </c>
      <c r="B6">
        <v>2.4242E-2</v>
      </c>
      <c r="C6">
        <v>2.8602569999999998</v>
      </c>
      <c r="D6">
        <v>0.50217299999999998</v>
      </c>
      <c r="E6">
        <v>5.0052029999999998</v>
      </c>
      <c r="F6">
        <v>5.02461</v>
      </c>
      <c r="G6">
        <v>1.7915700000000001</v>
      </c>
      <c r="K6">
        <v>0.18026500000000001</v>
      </c>
      <c r="L6">
        <v>13.332936999999999</v>
      </c>
      <c r="M6">
        <v>572.05145300000004</v>
      </c>
      <c r="N6">
        <v>5.0719510000000003</v>
      </c>
      <c r="O6">
        <v>1.0406E-2</v>
      </c>
      <c r="P6">
        <v>9.7999999999999997E-5</v>
      </c>
      <c r="Q6">
        <v>5.915699</v>
      </c>
      <c r="Y6">
        <f t="shared" si="1"/>
        <v>2.4610000000000021</v>
      </c>
      <c r="Z6" s="4">
        <f t="shared" si="2"/>
        <v>0.42283624542868714</v>
      </c>
    </row>
    <row r="7" spans="1:27" x14ac:dyDescent="0.25">
      <c r="A7">
        <v>0.178509</v>
      </c>
      <c r="B7">
        <v>2.7859999999999999E-2</v>
      </c>
      <c r="C7">
        <v>2.859928</v>
      </c>
      <c r="D7">
        <v>0.50316000000000005</v>
      </c>
      <c r="E7">
        <v>5.0101370000000003</v>
      </c>
      <c r="F7">
        <v>5.2298619999999998</v>
      </c>
      <c r="G7">
        <v>1.7672289999999999</v>
      </c>
      <c r="K7">
        <v>0.21421000000000001</v>
      </c>
      <c r="L7">
        <v>15.322948999999999</v>
      </c>
      <c r="M7">
        <v>571.98565699999995</v>
      </c>
      <c r="N7">
        <v>5.0819179999999999</v>
      </c>
      <c r="O7">
        <v>2.0272999999999999E-2</v>
      </c>
      <c r="P7">
        <v>9.19E-4</v>
      </c>
      <c r="Q7">
        <v>5.6722929999999998</v>
      </c>
      <c r="U7" t="s">
        <v>34</v>
      </c>
      <c r="V7" t="s">
        <v>35</v>
      </c>
      <c r="X7" t="s">
        <v>36</v>
      </c>
      <c r="Y7">
        <f t="shared" si="1"/>
        <v>22.986199999999979</v>
      </c>
      <c r="Z7" s="4">
        <f t="shared" si="2"/>
        <v>8.8196396098528765E-2</v>
      </c>
    </row>
    <row r="8" spans="1:27" x14ac:dyDescent="0.25">
      <c r="A8">
        <v>0.20811199999999999</v>
      </c>
      <c r="B8">
        <v>3.2465000000000001E-2</v>
      </c>
      <c r="C8">
        <v>2.8602569999999998</v>
      </c>
      <c r="D8">
        <v>0.49987100000000001</v>
      </c>
      <c r="E8">
        <v>5.0111239999999997</v>
      </c>
      <c r="F8">
        <v>5.0920399999999999</v>
      </c>
      <c r="G8">
        <v>1.7451909999999999</v>
      </c>
      <c r="K8">
        <v>0.24973500000000001</v>
      </c>
      <c r="L8">
        <v>17.855689999999999</v>
      </c>
      <c r="M8">
        <v>572.05145300000004</v>
      </c>
      <c r="N8">
        <v>5.0486959999999996</v>
      </c>
      <c r="O8">
        <v>2.2246999999999999E-2</v>
      </c>
      <c r="P8">
        <v>3.68E-4</v>
      </c>
      <c r="Q8">
        <v>5.451911</v>
      </c>
      <c r="U8">
        <v>12</v>
      </c>
      <c r="V8">
        <v>5500</v>
      </c>
      <c r="X8">
        <v>101</v>
      </c>
      <c r="Y8">
        <f t="shared" si="1"/>
        <v>9.20399999999999</v>
      </c>
      <c r="Z8" s="4">
        <f t="shared" si="2"/>
        <v>0.24171012603216019</v>
      </c>
    </row>
    <row r="9" spans="1:27" x14ac:dyDescent="0.25">
      <c r="A9">
        <v>0.22587399999999999</v>
      </c>
      <c r="B9">
        <v>3.5424999999999998E-2</v>
      </c>
      <c r="C9">
        <v>2.8582839999999998</v>
      </c>
      <c r="D9">
        <v>0.50019999999999998</v>
      </c>
      <c r="E9">
        <v>5.0094789999999998</v>
      </c>
      <c r="F9">
        <v>5.0371090000000001</v>
      </c>
      <c r="G9">
        <v>1.7251270000000001</v>
      </c>
      <c r="K9">
        <v>0.27104899999999998</v>
      </c>
      <c r="L9">
        <v>19.483881</v>
      </c>
      <c r="M9">
        <v>571.65673800000002</v>
      </c>
      <c r="N9">
        <v>5.0520189999999996</v>
      </c>
      <c r="O9">
        <v>1.8957000000000002E-2</v>
      </c>
      <c r="P9">
        <v>1.4799999999999999E-4</v>
      </c>
      <c r="Q9">
        <v>5.2512650000000001</v>
      </c>
      <c r="Y9">
        <f t="shared" si="1"/>
        <v>3.7109000000000059</v>
      </c>
      <c r="Z9" s="4">
        <f t="shared" si="2"/>
        <v>0.51084642539545588</v>
      </c>
    </row>
    <row r="10" spans="1:27" x14ac:dyDescent="0.25">
      <c r="A10">
        <v>0.24429400000000001</v>
      </c>
      <c r="B10">
        <v>3.8714999999999999E-2</v>
      </c>
      <c r="C10">
        <v>2.859928</v>
      </c>
      <c r="D10">
        <v>0.50184399999999996</v>
      </c>
      <c r="E10">
        <v>5.0107949999999999</v>
      </c>
      <c r="F10">
        <v>5.016057</v>
      </c>
      <c r="G10">
        <v>1.706707</v>
      </c>
      <c r="K10">
        <v>0.293153</v>
      </c>
      <c r="L10">
        <v>21.292981999999999</v>
      </c>
      <c r="M10">
        <v>571.98565699999995</v>
      </c>
      <c r="N10">
        <v>5.0686289999999996</v>
      </c>
      <c r="O10">
        <v>2.1589000000000001E-2</v>
      </c>
      <c r="P10">
        <v>6.3999999999999997E-5</v>
      </c>
      <c r="Q10">
        <v>5.0670650000000004</v>
      </c>
      <c r="Y10">
        <f t="shared" si="1"/>
        <v>1.6056999999999988</v>
      </c>
      <c r="Z10" s="4">
        <f t="shared" si="2"/>
        <v>1.3445226381017634</v>
      </c>
    </row>
    <row r="11" spans="1:27" x14ac:dyDescent="0.25">
      <c r="A11">
        <v>0.27225300000000002</v>
      </c>
      <c r="B11">
        <v>4.2661999999999999E-2</v>
      </c>
      <c r="C11">
        <v>2.8592710000000001</v>
      </c>
      <c r="D11">
        <v>0.50085800000000003</v>
      </c>
      <c r="E11">
        <v>5.0094789999999998</v>
      </c>
      <c r="F11">
        <v>5.0084920000000004</v>
      </c>
      <c r="G11">
        <v>1.688944</v>
      </c>
      <c r="K11">
        <v>0.32670399999999999</v>
      </c>
      <c r="L11">
        <v>23.463905</v>
      </c>
      <c r="M11">
        <v>571.85412599999995</v>
      </c>
      <c r="N11">
        <v>5.0586630000000001</v>
      </c>
      <c r="O11">
        <v>1.8957000000000002E-2</v>
      </c>
      <c r="P11">
        <v>3.4E-5</v>
      </c>
      <c r="Q11">
        <v>4.8894440000000001</v>
      </c>
      <c r="X11" t="s">
        <v>37</v>
      </c>
      <c r="Y11">
        <f t="shared" si="1"/>
        <v>0.84920000000003881</v>
      </c>
      <c r="Z11" s="4">
        <f t="shared" si="2"/>
        <v>2.232336316533106</v>
      </c>
    </row>
    <row r="12" spans="1:27" x14ac:dyDescent="0.25">
      <c r="A12">
        <v>0.29264699999999999</v>
      </c>
      <c r="B12">
        <v>4.7595999999999999E-2</v>
      </c>
      <c r="C12">
        <v>2.8595989999999998</v>
      </c>
      <c r="D12">
        <v>0.50184399999999996</v>
      </c>
      <c r="E12">
        <v>5.0111239999999997</v>
      </c>
      <c r="F12">
        <v>5.0045450000000002</v>
      </c>
      <c r="G12">
        <v>1.6741429999999999</v>
      </c>
      <c r="K12">
        <v>0.35117599999999999</v>
      </c>
      <c r="L12">
        <v>26.177557</v>
      </c>
      <c r="M12">
        <v>571.91986099999997</v>
      </c>
      <c r="N12">
        <v>5.0686289999999996</v>
      </c>
      <c r="O12">
        <v>2.2246999999999999E-2</v>
      </c>
      <c r="P12">
        <v>1.8E-5</v>
      </c>
      <c r="Q12">
        <v>4.7414269999999998</v>
      </c>
      <c r="X12">
        <v>500</v>
      </c>
      <c r="Y12">
        <f t="shared" si="1"/>
        <v>0.45450000000002433</v>
      </c>
      <c r="Z12" s="4">
        <f t="shared" si="2"/>
        <v>4.8948294829480332</v>
      </c>
    </row>
    <row r="13" spans="1:27" x14ac:dyDescent="0.25">
      <c r="A13">
        <v>0.32126300000000002</v>
      </c>
      <c r="B13">
        <v>5.2200999999999997E-2</v>
      </c>
      <c r="C13">
        <v>2.8592710000000001</v>
      </c>
      <c r="D13">
        <v>0.49789699999999998</v>
      </c>
      <c r="E13">
        <v>5.0107949999999999</v>
      </c>
      <c r="F13">
        <v>5.003558</v>
      </c>
      <c r="G13">
        <v>1.65967</v>
      </c>
      <c r="K13">
        <v>0.38551600000000003</v>
      </c>
      <c r="L13">
        <v>28.710297000000001</v>
      </c>
      <c r="M13">
        <v>571.85412599999995</v>
      </c>
      <c r="N13">
        <v>5.0287629999999996</v>
      </c>
      <c r="O13">
        <v>2.1589000000000001E-2</v>
      </c>
      <c r="P13">
        <v>1.4E-5</v>
      </c>
      <c r="Q13">
        <v>4.5966990000000001</v>
      </c>
      <c r="Y13">
        <f t="shared" si="1"/>
        <v>0.35579999999999501</v>
      </c>
      <c r="Z13" s="4">
        <f t="shared" si="2"/>
        <v>6.0677346824059315</v>
      </c>
    </row>
    <row r="14" spans="1:27" x14ac:dyDescent="0.25">
      <c r="A14">
        <v>0.34231499999999998</v>
      </c>
      <c r="B14">
        <v>5.5489999999999998E-2</v>
      </c>
      <c r="C14">
        <v>2.8595989999999998</v>
      </c>
      <c r="D14">
        <v>0.498226</v>
      </c>
      <c r="E14">
        <v>5.0114520000000002</v>
      </c>
      <c r="F14">
        <v>5.0029000000000003</v>
      </c>
      <c r="G14">
        <v>1.6471709999999999</v>
      </c>
      <c r="K14">
        <v>0.41077799999999998</v>
      </c>
      <c r="L14">
        <v>30.519397999999999</v>
      </c>
      <c r="M14">
        <v>571.91986099999997</v>
      </c>
      <c r="N14">
        <v>5.0320850000000004</v>
      </c>
      <c r="O14">
        <v>2.2904000000000001E-2</v>
      </c>
      <c r="P14">
        <v>1.2E-5</v>
      </c>
      <c r="Q14">
        <v>4.4717060000000002</v>
      </c>
      <c r="Y14">
        <f t="shared" si="1"/>
        <v>0.29000000000003467</v>
      </c>
      <c r="Z14" s="4">
        <f t="shared" si="2"/>
        <v>7.8979310344818145</v>
      </c>
    </row>
    <row r="15" spans="1:27" x14ac:dyDescent="0.25">
      <c r="A15">
        <v>0.37356299999999998</v>
      </c>
      <c r="B15">
        <v>6.0423999999999999E-2</v>
      </c>
      <c r="C15">
        <v>2.859928</v>
      </c>
      <c r="D15">
        <v>0.49954199999999999</v>
      </c>
      <c r="E15">
        <v>5.00915</v>
      </c>
      <c r="F15">
        <v>4.9989530000000002</v>
      </c>
      <c r="G15">
        <v>1.5998049999999999</v>
      </c>
      <c r="K15">
        <v>0.44827499999999998</v>
      </c>
      <c r="L15">
        <v>33.233051000000003</v>
      </c>
      <c r="M15">
        <v>571.98565699999995</v>
      </c>
      <c r="N15">
        <v>5.0453739999999998</v>
      </c>
      <c r="O15">
        <v>1.83E-2</v>
      </c>
      <c r="P15">
        <v>-3.9999999999999998E-6</v>
      </c>
      <c r="Q15">
        <v>3.9973999999999998</v>
      </c>
      <c r="Y15">
        <f t="shared" si="1"/>
        <v>-0.10469999999997981</v>
      </c>
      <c r="Z15" s="4">
        <f t="shared" si="2"/>
        <v>-17.478510028656665</v>
      </c>
    </row>
    <row r="16" spans="1:27" x14ac:dyDescent="0.25">
      <c r="A16">
        <v>0.39954800000000001</v>
      </c>
      <c r="B16">
        <v>6.5686999999999995E-2</v>
      </c>
      <c r="C16">
        <v>2.8615729999999999</v>
      </c>
      <c r="D16">
        <v>0.50381799999999999</v>
      </c>
      <c r="E16">
        <v>5.0107949999999999</v>
      </c>
      <c r="F16">
        <v>5.004874</v>
      </c>
      <c r="G16">
        <v>1.6241460000000001</v>
      </c>
      <c r="K16">
        <v>0.479458</v>
      </c>
      <c r="L16">
        <v>36.127612999999997</v>
      </c>
      <c r="M16">
        <v>572.31457499999999</v>
      </c>
      <c r="N16">
        <v>5.0885619999999996</v>
      </c>
      <c r="O16">
        <v>2.1589000000000001E-2</v>
      </c>
      <c r="P16">
        <v>1.9000000000000001E-5</v>
      </c>
      <c r="Q16">
        <v>4.2414560000000003</v>
      </c>
      <c r="Y16">
        <f t="shared" si="1"/>
        <v>0.4874000000000045</v>
      </c>
      <c r="Z16" s="4">
        <f t="shared" si="2"/>
        <v>4.4294214197783752</v>
      </c>
    </row>
    <row r="17" spans="1:26" x14ac:dyDescent="0.25">
      <c r="A17">
        <v>0.42750700000000003</v>
      </c>
      <c r="B17">
        <v>7.0291999999999993E-2</v>
      </c>
      <c r="C17">
        <v>2.8605860000000001</v>
      </c>
      <c r="D17">
        <v>0.50776500000000002</v>
      </c>
      <c r="E17">
        <v>5.0111239999999997</v>
      </c>
      <c r="F17">
        <v>5.0032290000000001</v>
      </c>
      <c r="G17">
        <v>1.6136200000000001</v>
      </c>
      <c r="K17">
        <v>0.51300800000000002</v>
      </c>
      <c r="L17">
        <v>38.660355000000003</v>
      </c>
      <c r="M17">
        <v>572.11724900000002</v>
      </c>
      <c r="N17">
        <v>5.1284280000000004</v>
      </c>
      <c r="O17">
        <v>2.2246999999999999E-2</v>
      </c>
      <c r="P17">
        <v>1.2999999999999999E-5</v>
      </c>
      <c r="Q17">
        <v>4.1361999999999997</v>
      </c>
      <c r="Y17">
        <f t="shared" si="1"/>
        <v>0.32290000000001484</v>
      </c>
      <c r="Z17" s="4">
        <f t="shared" si="2"/>
        <v>6.8897491483428235</v>
      </c>
    </row>
    <row r="18" spans="1:26" x14ac:dyDescent="0.25">
      <c r="A18">
        <v>0.46467599999999998</v>
      </c>
      <c r="B18">
        <v>7.6869999999999994E-2</v>
      </c>
      <c r="C18">
        <v>2.859928</v>
      </c>
      <c r="D18">
        <v>0.50842299999999996</v>
      </c>
      <c r="E18">
        <v>5.0144130000000002</v>
      </c>
      <c r="F18">
        <v>5.3364349999999998</v>
      </c>
      <c r="G18">
        <v>1.605397</v>
      </c>
      <c r="K18">
        <v>0.55761099999999997</v>
      </c>
      <c r="L18">
        <v>42.278556999999999</v>
      </c>
      <c r="M18">
        <v>571.98565699999995</v>
      </c>
      <c r="N18">
        <v>5.1350730000000002</v>
      </c>
      <c r="O18">
        <v>2.8826000000000001E-2</v>
      </c>
      <c r="P18">
        <v>1.346E-3</v>
      </c>
      <c r="Q18">
        <v>4.0539670000000001</v>
      </c>
      <c r="Y18">
        <f t="shared" si="1"/>
        <v>33.643499999999982</v>
      </c>
      <c r="Z18" s="4">
        <f t="shared" si="2"/>
        <v>8.5680740707714767E-2</v>
      </c>
    </row>
    <row r="19" spans="1:26" x14ac:dyDescent="0.25">
      <c r="A19">
        <v>0.49888399999999999</v>
      </c>
      <c r="B19">
        <v>8.3448999999999995E-2</v>
      </c>
      <c r="C19">
        <v>2.8612440000000001</v>
      </c>
      <c r="D19">
        <v>0.51039699999999999</v>
      </c>
      <c r="E19">
        <v>5.0163869999999999</v>
      </c>
      <c r="F19">
        <v>5.1321700000000003</v>
      </c>
      <c r="G19">
        <v>1.596187</v>
      </c>
      <c r="K19">
        <v>0.598661</v>
      </c>
      <c r="L19">
        <v>45.896759000000003</v>
      </c>
      <c r="M19">
        <v>572.24877900000001</v>
      </c>
      <c r="N19">
        <v>5.1550050000000001</v>
      </c>
      <c r="O19">
        <v>3.2772999999999997E-2</v>
      </c>
      <c r="P19">
        <v>5.2899999999999996E-4</v>
      </c>
      <c r="Q19">
        <v>3.9491580000000002</v>
      </c>
      <c r="Y19">
        <f t="shared" si="1"/>
        <v>13.217000000000036</v>
      </c>
      <c r="Z19" s="4">
        <f t="shared" si="2"/>
        <v>0.24796095937050697</v>
      </c>
    </row>
    <row r="20" spans="1:26" x14ac:dyDescent="0.25">
      <c r="A20">
        <v>0.53013200000000005</v>
      </c>
      <c r="B20">
        <v>9.0026999999999996E-2</v>
      </c>
      <c r="C20">
        <v>2.8605860000000001</v>
      </c>
      <c r="D20">
        <v>0.51269900000000002</v>
      </c>
      <c r="E20">
        <v>5.0196759999999996</v>
      </c>
      <c r="F20">
        <v>5.3696570000000001</v>
      </c>
      <c r="G20">
        <v>1.588293</v>
      </c>
      <c r="K20">
        <v>0.63615900000000003</v>
      </c>
      <c r="L20">
        <v>49.514961</v>
      </c>
      <c r="M20">
        <v>572.11724900000002</v>
      </c>
      <c r="N20">
        <v>5.178261</v>
      </c>
      <c r="O20">
        <v>3.9350999999999997E-2</v>
      </c>
      <c r="P20">
        <v>1.4790000000000001E-3</v>
      </c>
      <c r="Q20">
        <v>3.8439009999999998</v>
      </c>
      <c r="Y20">
        <f t="shared" ref="Y20:Y83" si="3">(F20-5)*$X$12/5*1</f>
        <v>36.965700000000012</v>
      </c>
      <c r="Z20" s="4">
        <f t="shared" ref="Z20:Z83" si="4">O20/Y20*100</f>
        <v>0.10645273861985566</v>
      </c>
    </row>
    <row r="21" spans="1:26" x14ac:dyDescent="0.25">
      <c r="A21">
        <v>0.56730100000000006</v>
      </c>
      <c r="B21">
        <v>9.7264000000000003E-2</v>
      </c>
      <c r="C21">
        <v>2.8602569999999998</v>
      </c>
      <c r="D21">
        <v>0.514015</v>
      </c>
      <c r="E21">
        <v>5.0206619999999997</v>
      </c>
      <c r="F21">
        <v>5.1420370000000002</v>
      </c>
      <c r="G21">
        <v>1.580398</v>
      </c>
      <c r="K21">
        <v>0.68076099999999995</v>
      </c>
      <c r="L21">
        <v>53.494987000000002</v>
      </c>
      <c r="M21">
        <v>572.05145300000004</v>
      </c>
      <c r="N21">
        <v>5.1915490000000002</v>
      </c>
      <c r="O21">
        <v>4.1325000000000001E-2</v>
      </c>
      <c r="P21">
        <v>5.6800000000000004E-4</v>
      </c>
      <c r="Q21">
        <v>3.7386439999999999</v>
      </c>
      <c r="Y21">
        <f t="shared" si="3"/>
        <v>14.203700000000021</v>
      </c>
      <c r="Z21" s="4">
        <f t="shared" si="4"/>
        <v>0.29094531706527132</v>
      </c>
    </row>
    <row r="22" spans="1:26" x14ac:dyDescent="0.25">
      <c r="A22">
        <v>0.596576</v>
      </c>
      <c r="B22">
        <v>0.103184</v>
      </c>
      <c r="C22">
        <v>2.8612440000000001</v>
      </c>
      <c r="D22">
        <v>0.51960700000000004</v>
      </c>
      <c r="E22">
        <v>5.0265829999999996</v>
      </c>
      <c r="F22">
        <v>5.3509080000000004</v>
      </c>
      <c r="G22">
        <v>1.5725039999999999</v>
      </c>
      <c r="K22">
        <v>0.71589100000000006</v>
      </c>
      <c r="L22">
        <v>56.751368999999997</v>
      </c>
      <c r="M22">
        <v>572.24877900000001</v>
      </c>
      <c r="N22">
        <v>5.2480260000000003</v>
      </c>
      <c r="O22">
        <v>5.3165999999999998E-2</v>
      </c>
      <c r="P22">
        <v>1.4040000000000001E-3</v>
      </c>
      <c r="Q22">
        <v>3.6333869999999999</v>
      </c>
      <c r="Y22">
        <f t="shared" si="3"/>
        <v>35.090800000000044</v>
      </c>
      <c r="Z22" s="4">
        <f t="shared" si="4"/>
        <v>0.15150979743978457</v>
      </c>
    </row>
    <row r="23" spans="1:26" x14ac:dyDescent="0.25">
      <c r="A23">
        <v>0.63341599999999998</v>
      </c>
      <c r="B23">
        <v>0.11075</v>
      </c>
      <c r="C23">
        <v>2.8602569999999998</v>
      </c>
      <c r="D23">
        <v>0.52223799999999998</v>
      </c>
      <c r="E23">
        <v>5.02461</v>
      </c>
      <c r="F23">
        <v>5.1338140000000001</v>
      </c>
      <c r="G23">
        <v>1.5652680000000001</v>
      </c>
      <c r="K23">
        <v>0.76009899999999997</v>
      </c>
      <c r="L23">
        <v>60.912300000000002</v>
      </c>
      <c r="M23">
        <v>572.05145300000004</v>
      </c>
      <c r="N23">
        <v>5.2746029999999999</v>
      </c>
      <c r="O23">
        <v>4.9218999999999999E-2</v>
      </c>
      <c r="P23">
        <v>5.3499999999999999E-4</v>
      </c>
      <c r="Q23">
        <v>3.5369009999999999</v>
      </c>
      <c r="Y23">
        <f t="shared" si="3"/>
        <v>13.38140000000001</v>
      </c>
      <c r="Z23" s="4">
        <f t="shared" si="4"/>
        <v>0.36781652144020777</v>
      </c>
    </row>
    <row r="24" spans="1:26" x14ac:dyDescent="0.25">
      <c r="A24">
        <v>0.67551799999999995</v>
      </c>
      <c r="B24">
        <v>0.117657</v>
      </c>
      <c r="C24">
        <v>2.8609149999999999</v>
      </c>
      <c r="D24">
        <v>0.52388299999999999</v>
      </c>
      <c r="E24">
        <v>5.0311880000000002</v>
      </c>
      <c r="F24">
        <v>5.3949850000000001</v>
      </c>
      <c r="G24">
        <v>1.5600050000000001</v>
      </c>
      <c r="K24">
        <v>0.81062199999999995</v>
      </c>
      <c r="L24">
        <v>64.711417999999995</v>
      </c>
      <c r="M24">
        <v>572.183044</v>
      </c>
      <c r="N24">
        <v>5.2912140000000001</v>
      </c>
      <c r="O24">
        <v>6.2376000000000001E-2</v>
      </c>
      <c r="P24">
        <v>1.58E-3</v>
      </c>
      <c r="Q24">
        <v>3.4667289999999999</v>
      </c>
      <c r="Y24">
        <f t="shared" si="3"/>
        <v>39.498500000000014</v>
      </c>
      <c r="Z24" s="4">
        <f t="shared" si="4"/>
        <v>0.15791992100965854</v>
      </c>
    </row>
    <row r="25" spans="1:26" x14ac:dyDescent="0.25">
      <c r="A25">
        <v>0.71992299999999998</v>
      </c>
      <c r="B25">
        <v>0.12686700000000001</v>
      </c>
      <c r="C25">
        <v>2.8615729999999999</v>
      </c>
      <c r="D25">
        <v>0.52454000000000001</v>
      </c>
      <c r="E25">
        <v>5.0311880000000002</v>
      </c>
      <c r="F25">
        <v>5.1558520000000003</v>
      </c>
      <c r="G25">
        <v>1.554413</v>
      </c>
      <c r="K25">
        <v>0.86390800000000001</v>
      </c>
      <c r="L25">
        <v>69.776893999999999</v>
      </c>
      <c r="M25">
        <v>572.31457499999999</v>
      </c>
      <c r="N25">
        <v>5.2978589999999999</v>
      </c>
      <c r="O25">
        <v>6.2376000000000001E-2</v>
      </c>
      <c r="P25">
        <v>6.2299999999999996E-4</v>
      </c>
      <c r="Q25">
        <v>3.3921730000000001</v>
      </c>
      <c r="Y25">
        <f t="shared" si="3"/>
        <v>15.585200000000032</v>
      </c>
      <c r="Z25" s="4">
        <f t="shared" si="4"/>
        <v>0.40022585529861587</v>
      </c>
    </row>
    <row r="26" spans="1:26" x14ac:dyDescent="0.25">
      <c r="A26">
        <v>0.75610500000000003</v>
      </c>
      <c r="B26">
        <v>0.13739299999999999</v>
      </c>
      <c r="C26">
        <v>2.8612440000000001</v>
      </c>
      <c r="D26">
        <v>0.52783000000000002</v>
      </c>
      <c r="E26">
        <v>5.0364509999999996</v>
      </c>
      <c r="F26">
        <v>5.3601179999999999</v>
      </c>
      <c r="G26">
        <v>1.5501370000000001</v>
      </c>
      <c r="K26">
        <v>0.90732699999999999</v>
      </c>
      <c r="L26">
        <v>75.566017000000002</v>
      </c>
      <c r="M26">
        <v>572.24877900000001</v>
      </c>
      <c r="N26">
        <v>5.33108</v>
      </c>
      <c r="O26">
        <v>7.2901999999999995E-2</v>
      </c>
      <c r="P26">
        <v>1.4400000000000001E-3</v>
      </c>
      <c r="Q26">
        <v>3.335159</v>
      </c>
      <c r="Y26">
        <f t="shared" si="3"/>
        <v>36.011799999999994</v>
      </c>
      <c r="Z26" s="4">
        <f t="shared" si="4"/>
        <v>0.20243920048428574</v>
      </c>
    </row>
    <row r="27" spans="1:26" x14ac:dyDescent="0.25">
      <c r="A27">
        <v>0.80708899999999995</v>
      </c>
      <c r="B27">
        <v>0.14594499999999999</v>
      </c>
      <c r="C27">
        <v>2.8605860000000001</v>
      </c>
      <c r="D27">
        <v>0.53013200000000005</v>
      </c>
      <c r="E27">
        <v>5.0354640000000002</v>
      </c>
      <c r="F27">
        <v>5.1407220000000002</v>
      </c>
      <c r="G27">
        <v>1.54619</v>
      </c>
      <c r="K27">
        <v>0.96850700000000001</v>
      </c>
      <c r="L27">
        <v>80.269683999999998</v>
      </c>
      <c r="M27">
        <v>572.11724900000002</v>
      </c>
      <c r="N27">
        <v>5.354336</v>
      </c>
      <c r="O27">
        <v>7.0929000000000006E-2</v>
      </c>
      <c r="P27">
        <v>5.6300000000000002E-4</v>
      </c>
      <c r="Q27">
        <v>3.2825310000000001</v>
      </c>
      <c r="Y27">
        <f t="shared" si="3"/>
        <v>14.072200000000024</v>
      </c>
      <c r="Z27" s="4">
        <f t="shared" si="4"/>
        <v>0.50403632694248157</v>
      </c>
    </row>
    <row r="28" spans="1:26" x14ac:dyDescent="0.25">
      <c r="A28">
        <v>0.85675699999999999</v>
      </c>
      <c r="B28">
        <v>0.156142</v>
      </c>
      <c r="C28">
        <v>2.8612440000000001</v>
      </c>
      <c r="D28">
        <v>0.53539499999999995</v>
      </c>
      <c r="E28">
        <v>5.0397400000000001</v>
      </c>
      <c r="F28">
        <v>5.4038659999999998</v>
      </c>
      <c r="G28">
        <v>1.5425720000000001</v>
      </c>
      <c r="K28">
        <v>1.0281089999999999</v>
      </c>
      <c r="L28">
        <v>85.877898999999999</v>
      </c>
      <c r="M28">
        <v>572.24877900000001</v>
      </c>
      <c r="N28">
        <v>5.4074900000000001</v>
      </c>
      <c r="O28">
        <v>7.9479999999999995E-2</v>
      </c>
      <c r="P28">
        <v>1.6149999999999999E-3</v>
      </c>
      <c r="Q28">
        <v>3.2342870000000001</v>
      </c>
      <c r="Y28">
        <f t="shared" si="3"/>
        <v>40.38659999999998</v>
      </c>
      <c r="Z28" s="4">
        <f t="shared" si="4"/>
        <v>0.1967979478341827</v>
      </c>
    </row>
    <row r="29" spans="1:26" x14ac:dyDescent="0.25">
      <c r="A29">
        <v>0.90412300000000001</v>
      </c>
      <c r="B29">
        <v>0.16699600000000001</v>
      </c>
      <c r="C29">
        <v>2.8609149999999999</v>
      </c>
      <c r="D29">
        <v>0.53473700000000002</v>
      </c>
      <c r="E29">
        <v>5.0400689999999999</v>
      </c>
      <c r="F29">
        <v>5.1591420000000001</v>
      </c>
      <c r="G29">
        <v>1.538953</v>
      </c>
      <c r="K29">
        <v>1.0849470000000001</v>
      </c>
      <c r="L29">
        <v>91.847931000000003</v>
      </c>
      <c r="M29">
        <v>572.183044</v>
      </c>
      <c r="N29">
        <v>5.4008459999999996</v>
      </c>
      <c r="O29">
        <v>8.0138000000000001E-2</v>
      </c>
      <c r="P29">
        <v>6.3699999999999998E-4</v>
      </c>
      <c r="Q29">
        <v>3.1860460000000002</v>
      </c>
      <c r="Y29">
        <f t="shared" si="3"/>
        <v>15.914200000000012</v>
      </c>
      <c r="Z29" s="4">
        <f t="shared" si="4"/>
        <v>0.50356285581430382</v>
      </c>
    </row>
    <row r="30" spans="1:26" x14ac:dyDescent="0.25">
      <c r="A30">
        <v>0.95379100000000006</v>
      </c>
      <c r="B30">
        <v>0.178838</v>
      </c>
      <c r="C30">
        <v>2.859928</v>
      </c>
      <c r="D30">
        <v>0.53802700000000003</v>
      </c>
      <c r="E30">
        <v>5.0417139999999998</v>
      </c>
      <c r="F30">
        <v>5.063752</v>
      </c>
      <c r="G30">
        <v>1.536651</v>
      </c>
      <c r="K30">
        <v>1.144549</v>
      </c>
      <c r="L30">
        <v>98.360695000000007</v>
      </c>
      <c r="M30">
        <v>571.98565699999995</v>
      </c>
      <c r="N30">
        <v>5.4340679999999999</v>
      </c>
      <c r="O30">
        <v>8.3427000000000001E-2</v>
      </c>
      <c r="P30">
        <v>2.5500000000000002E-4</v>
      </c>
      <c r="Q30">
        <v>3.1553450000000001</v>
      </c>
      <c r="Y30">
        <f t="shared" si="3"/>
        <v>6.3752000000000031</v>
      </c>
      <c r="Z30" s="4">
        <f t="shared" si="4"/>
        <v>1.3086177688543099</v>
      </c>
    </row>
    <row r="31" spans="1:26" x14ac:dyDescent="0.25">
      <c r="A31">
        <v>1.0083930000000001</v>
      </c>
      <c r="B31">
        <v>0.189692</v>
      </c>
      <c r="C31">
        <v>2.8592710000000001</v>
      </c>
      <c r="D31">
        <v>0.53967100000000001</v>
      </c>
      <c r="E31">
        <v>5.0446739999999997</v>
      </c>
      <c r="F31">
        <v>5.3729459999999998</v>
      </c>
      <c r="G31">
        <v>1.5336909999999999</v>
      </c>
      <c r="K31">
        <v>1.210072</v>
      </c>
      <c r="L31">
        <v>104.33073400000001</v>
      </c>
      <c r="M31">
        <v>571.85412599999995</v>
      </c>
      <c r="N31">
        <v>5.4506779999999999</v>
      </c>
      <c r="O31">
        <v>8.9348999999999998E-2</v>
      </c>
      <c r="P31">
        <v>1.4920000000000001E-3</v>
      </c>
      <c r="Q31">
        <v>3.1158739999999998</v>
      </c>
      <c r="Y31">
        <f t="shared" si="3"/>
        <v>37.294599999999981</v>
      </c>
      <c r="Z31" s="4">
        <f t="shared" si="4"/>
        <v>0.23957623891930746</v>
      </c>
    </row>
    <row r="32" spans="1:26" x14ac:dyDescent="0.25">
      <c r="A32">
        <v>1.0452330000000001</v>
      </c>
      <c r="B32">
        <v>0.20219100000000001</v>
      </c>
      <c r="C32">
        <v>2.859928</v>
      </c>
      <c r="D32">
        <v>0.54065799999999997</v>
      </c>
      <c r="E32">
        <v>5.0443449999999999</v>
      </c>
      <c r="F32">
        <v>5.1433530000000003</v>
      </c>
      <c r="G32">
        <v>1.531717</v>
      </c>
      <c r="K32">
        <v>1.2542789999999999</v>
      </c>
      <c r="L32">
        <v>111.205315</v>
      </c>
      <c r="M32">
        <v>571.98565699999995</v>
      </c>
      <c r="N32">
        <v>5.4606450000000004</v>
      </c>
      <c r="O32">
        <v>8.8691000000000006E-2</v>
      </c>
      <c r="P32">
        <v>5.7300000000000005E-4</v>
      </c>
      <c r="Q32">
        <v>3.0895589999999999</v>
      </c>
      <c r="Y32">
        <f t="shared" si="3"/>
        <v>14.335300000000029</v>
      </c>
      <c r="Z32" s="4">
        <f t="shared" si="4"/>
        <v>0.6186895286460683</v>
      </c>
    </row>
    <row r="33" spans="1:26" x14ac:dyDescent="0.25">
      <c r="A33">
        <v>1.1123339999999999</v>
      </c>
      <c r="B33">
        <v>0.216335</v>
      </c>
      <c r="C33">
        <v>2.8582839999999998</v>
      </c>
      <c r="D33">
        <v>0.54164500000000004</v>
      </c>
      <c r="E33">
        <v>5.0459899999999998</v>
      </c>
      <c r="F33">
        <v>5.0575029999999996</v>
      </c>
      <c r="G33">
        <v>1.5290859999999999</v>
      </c>
      <c r="K33">
        <v>1.3348009999999999</v>
      </c>
      <c r="L33">
        <v>118.98445100000001</v>
      </c>
      <c r="M33">
        <v>571.65673800000002</v>
      </c>
      <c r="N33">
        <v>5.470612</v>
      </c>
      <c r="O33">
        <v>9.1980000000000006E-2</v>
      </c>
      <c r="P33">
        <v>2.3000000000000001E-4</v>
      </c>
      <c r="Q33">
        <v>3.0544739999999999</v>
      </c>
      <c r="Y33">
        <f t="shared" si="3"/>
        <v>5.7502999999999638</v>
      </c>
      <c r="Z33" s="4">
        <f t="shared" si="4"/>
        <v>1.5995687181538456</v>
      </c>
    </row>
    <row r="34" spans="1:26" x14ac:dyDescent="0.25">
      <c r="A34">
        <v>1.1636470000000001</v>
      </c>
      <c r="B34">
        <v>0.23047899999999999</v>
      </c>
      <c r="C34">
        <v>2.8612440000000001</v>
      </c>
      <c r="D34">
        <v>0.54394699999999996</v>
      </c>
      <c r="E34">
        <v>5.0453320000000001</v>
      </c>
      <c r="F34">
        <v>5.0229650000000001</v>
      </c>
      <c r="G34">
        <v>1.5277700000000001</v>
      </c>
      <c r="K34">
        <v>1.3963760000000001</v>
      </c>
      <c r="L34">
        <v>126.763588</v>
      </c>
      <c r="M34">
        <v>572.24877900000001</v>
      </c>
      <c r="N34">
        <v>5.4938669999999998</v>
      </c>
      <c r="O34">
        <v>9.0663999999999995E-2</v>
      </c>
      <c r="P34">
        <v>9.2E-5</v>
      </c>
      <c r="Q34">
        <v>3.036931</v>
      </c>
      <c r="Y34">
        <f t="shared" si="3"/>
        <v>2.2965000000000124</v>
      </c>
      <c r="Z34" s="4">
        <f t="shared" si="4"/>
        <v>3.9479207489657964</v>
      </c>
    </row>
    <row r="35" spans="1:26" x14ac:dyDescent="0.25">
      <c r="A35">
        <v>1.204105</v>
      </c>
      <c r="B35">
        <v>0.24363599999999999</v>
      </c>
      <c r="C35">
        <v>2.8609149999999999</v>
      </c>
      <c r="D35">
        <v>0.54625000000000001</v>
      </c>
      <c r="E35">
        <v>5.0466480000000002</v>
      </c>
      <c r="F35">
        <v>5.0107949999999999</v>
      </c>
      <c r="G35">
        <v>1.527441</v>
      </c>
      <c r="K35">
        <v>1.4449259999999999</v>
      </c>
      <c r="L35">
        <v>134</v>
      </c>
      <c r="M35">
        <v>572.183044</v>
      </c>
      <c r="N35">
        <v>5.5171219999999996</v>
      </c>
      <c r="O35">
        <v>9.3296000000000004E-2</v>
      </c>
      <c r="P35">
        <v>4.3000000000000002E-5</v>
      </c>
      <c r="Q35">
        <v>3.0325449999999998</v>
      </c>
      <c r="Y35">
        <f t="shared" si="3"/>
        <v>1.0794999999999888</v>
      </c>
      <c r="Z35" s="4">
        <f t="shared" si="4"/>
        <v>8.6425196850394599</v>
      </c>
    </row>
    <row r="36" spans="1:26" x14ac:dyDescent="0.25">
      <c r="A36">
        <v>1.24851</v>
      </c>
      <c r="B36">
        <v>0.25745099999999999</v>
      </c>
      <c r="C36">
        <v>2.859928</v>
      </c>
      <c r="D36">
        <v>0.54625000000000001</v>
      </c>
      <c r="E36">
        <v>5.0450030000000003</v>
      </c>
      <c r="F36">
        <v>5.006189</v>
      </c>
      <c r="G36">
        <v>1.527441</v>
      </c>
      <c r="K36">
        <v>1.4982120000000001</v>
      </c>
      <c r="L36">
        <v>141.598206</v>
      </c>
      <c r="M36">
        <v>571.98565699999995</v>
      </c>
      <c r="N36">
        <v>5.5171219999999996</v>
      </c>
      <c r="O36">
        <v>9.0007000000000004E-2</v>
      </c>
      <c r="P36">
        <v>2.5000000000000001E-5</v>
      </c>
      <c r="Q36">
        <v>3.0325449999999998</v>
      </c>
      <c r="Y36">
        <f t="shared" si="3"/>
        <v>0.61890000000000001</v>
      </c>
      <c r="Z36" s="4">
        <f t="shared" si="4"/>
        <v>14.543060268217806</v>
      </c>
    </row>
    <row r="37" spans="1:26" x14ac:dyDescent="0.25">
      <c r="A37">
        <v>1.2988360000000001</v>
      </c>
      <c r="B37">
        <v>0.27159499999999998</v>
      </c>
      <c r="C37">
        <v>2.8595989999999998</v>
      </c>
      <c r="D37">
        <v>0.54559199999999997</v>
      </c>
      <c r="E37">
        <v>5.0459899999999998</v>
      </c>
      <c r="F37">
        <v>5.0042160000000004</v>
      </c>
      <c r="G37">
        <v>1.5277700000000001</v>
      </c>
      <c r="K37">
        <v>1.558603</v>
      </c>
      <c r="L37">
        <v>149.37735000000001</v>
      </c>
      <c r="M37">
        <v>571.91986099999997</v>
      </c>
      <c r="N37">
        <v>5.510478</v>
      </c>
      <c r="O37">
        <v>9.1980000000000006E-2</v>
      </c>
      <c r="P37">
        <v>1.7E-5</v>
      </c>
      <c r="Q37">
        <v>3.036931</v>
      </c>
      <c r="Y37">
        <f t="shared" si="3"/>
        <v>0.42160000000004416</v>
      </c>
      <c r="Z37" s="4">
        <f t="shared" si="4"/>
        <v>21.816888045538512</v>
      </c>
    </row>
    <row r="38" spans="1:26" x14ac:dyDescent="0.25">
      <c r="A38">
        <v>1.3481749999999999</v>
      </c>
      <c r="B38">
        <v>0.28837000000000002</v>
      </c>
      <c r="C38">
        <v>2.8619020000000002</v>
      </c>
      <c r="D38">
        <v>0.54986800000000002</v>
      </c>
      <c r="E38">
        <v>5.045661</v>
      </c>
      <c r="F38">
        <v>5.0032290000000001</v>
      </c>
      <c r="G38">
        <v>1.5284279999999999</v>
      </c>
      <c r="K38">
        <v>1.61781</v>
      </c>
      <c r="L38">
        <v>158.60377500000001</v>
      </c>
      <c r="M38">
        <v>572.38037099999997</v>
      </c>
      <c r="N38">
        <v>5.5536659999999998</v>
      </c>
      <c r="O38">
        <v>9.1322E-2</v>
      </c>
      <c r="P38">
        <v>1.2999999999999999E-5</v>
      </c>
      <c r="Q38">
        <v>3.045703</v>
      </c>
      <c r="Y38">
        <f t="shared" si="3"/>
        <v>0.32290000000001484</v>
      </c>
      <c r="Z38" s="4">
        <f t="shared" si="4"/>
        <v>28.281820997211462</v>
      </c>
    </row>
    <row r="39" spans="1:26" x14ac:dyDescent="0.25">
      <c r="A39">
        <v>1.4047510000000001</v>
      </c>
      <c r="B39">
        <v>0.30448799999999998</v>
      </c>
      <c r="C39">
        <v>2.8609149999999999</v>
      </c>
      <c r="D39">
        <v>0.54855200000000004</v>
      </c>
      <c r="E39">
        <v>5.0453320000000001</v>
      </c>
      <c r="F39">
        <v>5.0038869999999998</v>
      </c>
      <c r="G39">
        <v>1.529415</v>
      </c>
      <c r="K39">
        <v>1.6857009999999999</v>
      </c>
      <c r="L39">
        <v>167.468369</v>
      </c>
      <c r="M39">
        <v>572.183044</v>
      </c>
      <c r="N39">
        <v>5.5403770000000003</v>
      </c>
      <c r="O39">
        <v>9.0663999999999995E-2</v>
      </c>
      <c r="P39">
        <v>1.5999999999999999E-5</v>
      </c>
      <c r="Q39">
        <v>3.0588609999999998</v>
      </c>
      <c r="Y39">
        <f t="shared" si="3"/>
        <v>0.38869999999997518</v>
      </c>
      <c r="Z39" s="4">
        <f t="shared" si="4"/>
        <v>23.324929251352145</v>
      </c>
    </row>
    <row r="40" spans="1:26" x14ac:dyDescent="0.25">
      <c r="A40">
        <v>1.430078</v>
      </c>
      <c r="B40">
        <v>0.31369799999999998</v>
      </c>
      <c r="C40">
        <v>2.8625600000000002</v>
      </c>
      <c r="D40">
        <v>0.55052599999999996</v>
      </c>
      <c r="E40">
        <v>5.0466480000000002</v>
      </c>
      <c r="F40">
        <v>5.0038869999999998</v>
      </c>
      <c r="G40">
        <v>1.5307299999999999</v>
      </c>
      <c r="K40">
        <v>1.716094</v>
      </c>
      <c r="L40">
        <v>172.53384399999999</v>
      </c>
      <c r="M40">
        <v>572.51196300000004</v>
      </c>
      <c r="N40">
        <v>5.5603100000000003</v>
      </c>
      <c r="O40">
        <v>9.3296000000000004E-2</v>
      </c>
      <c r="P40">
        <v>1.5999999999999999E-5</v>
      </c>
      <c r="Q40">
        <v>3.0764019999999999</v>
      </c>
      <c r="Y40">
        <f t="shared" si="3"/>
        <v>0.38869999999997518</v>
      </c>
      <c r="Z40" s="4">
        <f t="shared" si="4"/>
        <v>24.002058142527904</v>
      </c>
    </row>
    <row r="41" spans="1:26" x14ac:dyDescent="0.25">
      <c r="A41">
        <v>1.4659310000000001</v>
      </c>
      <c r="B41">
        <v>0.32619700000000001</v>
      </c>
      <c r="C41">
        <v>2.8605860000000001</v>
      </c>
      <c r="D41">
        <v>0.55282799999999999</v>
      </c>
      <c r="E41">
        <v>5.0463190000000004</v>
      </c>
      <c r="F41">
        <v>5.0038869999999998</v>
      </c>
      <c r="G41">
        <v>1.5310589999999999</v>
      </c>
      <c r="K41">
        <v>1.759118</v>
      </c>
      <c r="L41">
        <v>179.408432</v>
      </c>
      <c r="M41">
        <v>572.11724900000002</v>
      </c>
      <c r="N41">
        <v>5.5835650000000001</v>
      </c>
      <c r="O41">
        <v>9.2637999999999998E-2</v>
      </c>
      <c r="P41">
        <v>1.5999999999999999E-5</v>
      </c>
      <c r="Q41">
        <v>3.0807890000000002</v>
      </c>
      <c r="Y41">
        <f t="shared" si="3"/>
        <v>0.38869999999997518</v>
      </c>
      <c r="Z41" s="4">
        <f t="shared" si="4"/>
        <v>23.832775919733962</v>
      </c>
    </row>
    <row r="42" spans="1:26" x14ac:dyDescent="0.25">
      <c r="A42">
        <v>1.487312</v>
      </c>
      <c r="B42">
        <v>0.33573599999999998</v>
      </c>
      <c r="C42">
        <v>2.8615729999999999</v>
      </c>
      <c r="D42">
        <v>0.55447299999999999</v>
      </c>
      <c r="E42">
        <v>5.0453320000000001</v>
      </c>
      <c r="F42">
        <v>5.0038869999999998</v>
      </c>
      <c r="G42">
        <v>1.531388</v>
      </c>
      <c r="K42">
        <v>1.7847740000000001</v>
      </c>
      <c r="L42">
        <v>184.654831</v>
      </c>
      <c r="M42">
        <v>572.31457499999999</v>
      </c>
      <c r="N42">
        <v>5.6001760000000003</v>
      </c>
      <c r="O42">
        <v>9.0663999999999995E-2</v>
      </c>
      <c r="P42">
        <v>1.5999999999999999E-5</v>
      </c>
      <c r="Q42">
        <v>3.0851739999999999</v>
      </c>
      <c r="Y42">
        <f t="shared" si="3"/>
        <v>0.38869999999997518</v>
      </c>
      <c r="Z42" s="4">
        <f t="shared" si="4"/>
        <v>23.324929251352145</v>
      </c>
    </row>
    <row r="43" spans="1:26" x14ac:dyDescent="0.25">
      <c r="A43">
        <v>1.5037579999999999</v>
      </c>
      <c r="B43">
        <v>0.34165699999999999</v>
      </c>
      <c r="C43">
        <v>2.8602569999999998</v>
      </c>
      <c r="D43">
        <v>0.55545999999999995</v>
      </c>
      <c r="E43">
        <v>5.0450030000000003</v>
      </c>
      <c r="F43">
        <v>5.0042160000000004</v>
      </c>
      <c r="G43">
        <v>1.5304009999999999</v>
      </c>
      <c r="K43">
        <v>1.8045100000000001</v>
      </c>
      <c r="L43">
        <v>187.91120900000001</v>
      </c>
      <c r="M43">
        <v>572.05145300000004</v>
      </c>
      <c r="N43">
        <v>5.6101429999999999</v>
      </c>
      <c r="O43">
        <v>9.0007000000000004E-2</v>
      </c>
      <c r="P43">
        <v>1.7E-5</v>
      </c>
      <c r="Q43">
        <v>3.0720160000000001</v>
      </c>
      <c r="Y43">
        <f t="shared" si="3"/>
        <v>0.42160000000004416</v>
      </c>
      <c r="Z43" s="4">
        <f t="shared" si="4"/>
        <v>21.348908918403836</v>
      </c>
    </row>
    <row r="44" spans="1:26" x14ac:dyDescent="0.25">
      <c r="A44">
        <v>1.53698</v>
      </c>
      <c r="B44">
        <v>0.353827</v>
      </c>
      <c r="C44">
        <v>2.8612440000000001</v>
      </c>
      <c r="D44">
        <v>0.55545999999999995</v>
      </c>
      <c r="E44">
        <v>5.045661</v>
      </c>
      <c r="F44">
        <v>5.0042160000000004</v>
      </c>
      <c r="G44">
        <v>1.529415</v>
      </c>
      <c r="K44">
        <v>1.844376</v>
      </c>
      <c r="L44">
        <v>194.60488900000001</v>
      </c>
      <c r="M44">
        <v>572.24877900000001</v>
      </c>
      <c r="N44">
        <v>5.6101429999999999</v>
      </c>
      <c r="O44">
        <v>9.1322E-2</v>
      </c>
      <c r="P44">
        <v>1.7E-5</v>
      </c>
      <c r="Q44">
        <v>3.0588609999999998</v>
      </c>
      <c r="Y44">
        <f t="shared" si="3"/>
        <v>0.42160000000004416</v>
      </c>
      <c r="Z44" s="4">
        <f t="shared" si="4"/>
        <v>21.660815939276667</v>
      </c>
    </row>
    <row r="45" spans="1:26" x14ac:dyDescent="0.25">
      <c r="A45">
        <v>1.564281</v>
      </c>
      <c r="B45">
        <v>0.36402400000000001</v>
      </c>
      <c r="C45">
        <v>2.859928</v>
      </c>
      <c r="D45">
        <v>0.55776199999999998</v>
      </c>
      <c r="E45">
        <v>5.045661</v>
      </c>
      <c r="F45">
        <v>5.0042160000000004</v>
      </c>
      <c r="G45">
        <v>1.5280990000000001</v>
      </c>
      <c r="K45">
        <v>1.8771370000000001</v>
      </c>
      <c r="L45">
        <v>200.21310399999999</v>
      </c>
      <c r="M45">
        <v>571.98565699999995</v>
      </c>
      <c r="N45">
        <v>5.6333979999999997</v>
      </c>
      <c r="O45">
        <v>9.1322E-2</v>
      </c>
      <c r="P45">
        <v>1.7E-5</v>
      </c>
      <c r="Q45">
        <v>3.041318</v>
      </c>
      <c r="Y45">
        <f t="shared" si="3"/>
        <v>0.42160000000004416</v>
      </c>
      <c r="Z45" s="4">
        <f t="shared" si="4"/>
        <v>21.660815939276667</v>
      </c>
    </row>
    <row r="46" spans="1:26" x14ac:dyDescent="0.25">
      <c r="A46">
        <v>1.5866480000000001</v>
      </c>
      <c r="B46">
        <v>0.373892</v>
      </c>
      <c r="C46">
        <v>2.8612440000000001</v>
      </c>
      <c r="D46">
        <v>0.55907799999999996</v>
      </c>
      <c r="E46">
        <v>5.0463190000000004</v>
      </c>
      <c r="F46">
        <v>5.0038869999999998</v>
      </c>
      <c r="G46">
        <v>1.5254669999999999</v>
      </c>
      <c r="K46">
        <v>1.903977</v>
      </c>
      <c r="L46">
        <v>205.640411</v>
      </c>
      <c r="M46">
        <v>572.24877900000001</v>
      </c>
      <c r="N46">
        <v>5.646687</v>
      </c>
      <c r="O46">
        <v>9.2637999999999998E-2</v>
      </c>
      <c r="P46">
        <v>1.5999999999999999E-5</v>
      </c>
      <c r="Q46">
        <v>3.0062319999999998</v>
      </c>
      <c r="Y46">
        <f t="shared" si="3"/>
        <v>0.38869999999997518</v>
      </c>
      <c r="Z46" s="4">
        <f t="shared" si="4"/>
        <v>23.832775919733962</v>
      </c>
    </row>
    <row r="47" spans="1:26" x14ac:dyDescent="0.25">
      <c r="A47">
        <v>1.6086860000000001</v>
      </c>
      <c r="B47">
        <v>0.38244400000000001</v>
      </c>
      <c r="C47">
        <v>2.8602569999999998</v>
      </c>
      <c r="D47">
        <v>0.56137999999999999</v>
      </c>
      <c r="E47">
        <v>5.0446739999999997</v>
      </c>
      <c r="F47">
        <v>5.0045450000000002</v>
      </c>
      <c r="G47">
        <v>1.5238229999999999</v>
      </c>
      <c r="K47">
        <v>1.930423</v>
      </c>
      <c r="L47">
        <v>210.34406999999999</v>
      </c>
      <c r="M47">
        <v>572.05145300000004</v>
      </c>
      <c r="N47">
        <v>5.6699419999999998</v>
      </c>
      <c r="O47">
        <v>8.9348999999999998E-2</v>
      </c>
      <c r="P47">
        <v>1.8E-5</v>
      </c>
      <c r="Q47">
        <v>2.984302</v>
      </c>
      <c r="Y47">
        <f t="shared" si="3"/>
        <v>0.45450000000002433</v>
      </c>
      <c r="Z47" s="4">
        <f t="shared" si="4"/>
        <v>19.658745874586405</v>
      </c>
    </row>
    <row r="48" spans="1:26" x14ac:dyDescent="0.25">
      <c r="A48">
        <v>1.639605</v>
      </c>
      <c r="B48">
        <v>0.393627</v>
      </c>
      <c r="C48">
        <v>2.8605860000000001</v>
      </c>
      <c r="D48">
        <v>0.56170900000000001</v>
      </c>
      <c r="E48">
        <v>5.0459899999999998</v>
      </c>
      <c r="F48">
        <v>5.0052029999999998</v>
      </c>
      <c r="G48">
        <v>1.521191</v>
      </c>
      <c r="K48">
        <v>1.9675260000000001</v>
      </c>
      <c r="L48">
        <v>216.495026</v>
      </c>
      <c r="M48">
        <v>572.11724900000002</v>
      </c>
      <c r="N48">
        <v>5.6732639999999996</v>
      </c>
      <c r="O48">
        <v>9.1980000000000006E-2</v>
      </c>
      <c r="P48">
        <v>2.0999999999999999E-5</v>
      </c>
      <c r="Q48">
        <v>2.949217</v>
      </c>
      <c r="Y48">
        <f t="shared" si="3"/>
        <v>0.52029999999998466</v>
      </c>
      <c r="Z48" s="4">
        <f t="shared" si="4"/>
        <v>17.678262540842343</v>
      </c>
    </row>
    <row r="49" spans="1:26" x14ac:dyDescent="0.25">
      <c r="A49">
        <v>1.659999</v>
      </c>
      <c r="B49">
        <v>0.40448200000000001</v>
      </c>
      <c r="C49">
        <v>2.8609149999999999</v>
      </c>
      <c r="D49">
        <v>0.56236699999999995</v>
      </c>
      <c r="E49">
        <v>5.0446739999999997</v>
      </c>
      <c r="F49">
        <v>5.004874</v>
      </c>
      <c r="G49">
        <v>1.5175730000000001</v>
      </c>
      <c r="K49">
        <v>1.9919990000000001</v>
      </c>
      <c r="L49">
        <v>222.465057</v>
      </c>
      <c r="M49">
        <v>572.183044</v>
      </c>
      <c r="N49">
        <v>5.6799080000000002</v>
      </c>
      <c r="O49">
        <v>8.9348999999999998E-2</v>
      </c>
      <c r="P49">
        <v>1.9000000000000001E-5</v>
      </c>
      <c r="Q49">
        <v>2.9009749999999999</v>
      </c>
      <c r="Y49">
        <f t="shared" si="3"/>
        <v>0.4874000000000045</v>
      </c>
      <c r="Z49" s="4">
        <f t="shared" si="4"/>
        <v>18.331760361099544</v>
      </c>
    </row>
    <row r="50" spans="1:26" x14ac:dyDescent="0.25">
      <c r="A50">
        <v>1.6873</v>
      </c>
      <c r="B50">
        <v>0.41105999999999998</v>
      </c>
      <c r="C50">
        <v>2.8609149999999999</v>
      </c>
      <c r="D50">
        <v>0.56598499999999996</v>
      </c>
      <c r="E50">
        <v>5.0463190000000004</v>
      </c>
      <c r="F50">
        <v>5.004874</v>
      </c>
      <c r="G50">
        <v>1.514284</v>
      </c>
      <c r="K50">
        <v>2.0247600000000001</v>
      </c>
      <c r="L50">
        <v>226.08325199999999</v>
      </c>
      <c r="M50">
        <v>572.183044</v>
      </c>
      <c r="N50">
        <v>5.7164520000000003</v>
      </c>
      <c r="O50">
        <v>9.2637999999999998E-2</v>
      </c>
      <c r="P50">
        <v>1.9000000000000001E-5</v>
      </c>
      <c r="Q50">
        <v>2.8571170000000001</v>
      </c>
      <c r="Y50">
        <f t="shared" si="3"/>
        <v>0.4874000000000045</v>
      </c>
      <c r="Z50" s="4">
        <f t="shared" si="4"/>
        <v>19.006565449322764</v>
      </c>
    </row>
    <row r="51" spans="1:26" x14ac:dyDescent="0.25">
      <c r="A51">
        <v>1.713614</v>
      </c>
      <c r="B51">
        <v>0.42388900000000002</v>
      </c>
      <c r="C51">
        <v>2.8602569999999998</v>
      </c>
      <c r="D51">
        <v>0.56762999999999997</v>
      </c>
      <c r="E51">
        <v>5.0459899999999998</v>
      </c>
      <c r="F51">
        <v>5.0058610000000003</v>
      </c>
      <c r="G51">
        <v>1.511323</v>
      </c>
      <c r="K51">
        <v>2.0563370000000001</v>
      </c>
      <c r="L51">
        <v>233.13876300000001</v>
      </c>
      <c r="M51">
        <v>572.05145300000004</v>
      </c>
      <c r="N51">
        <v>5.7330629999999996</v>
      </c>
      <c r="O51">
        <v>9.1980000000000006E-2</v>
      </c>
      <c r="P51">
        <v>2.3E-5</v>
      </c>
      <c r="Q51">
        <v>2.8176459999999999</v>
      </c>
      <c r="Y51">
        <f t="shared" si="3"/>
        <v>0.58610000000003382</v>
      </c>
      <c r="Z51" s="4">
        <f t="shared" si="4"/>
        <v>15.693567650570669</v>
      </c>
    </row>
    <row r="52" spans="1:26" x14ac:dyDescent="0.25">
      <c r="A52">
        <v>1.7422310000000001</v>
      </c>
      <c r="B52">
        <v>0.43276999999999999</v>
      </c>
      <c r="C52">
        <v>2.8595989999999998</v>
      </c>
      <c r="D52">
        <v>0.57059000000000004</v>
      </c>
      <c r="E52">
        <v>5.0463190000000004</v>
      </c>
      <c r="F52">
        <v>5.0058610000000003</v>
      </c>
      <c r="G52">
        <v>1.5077050000000001</v>
      </c>
      <c r="K52">
        <v>2.0906769999999999</v>
      </c>
      <c r="L52">
        <v>238.02333100000001</v>
      </c>
      <c r="M52">
        <v>571.91986099999997</v>
      </c>
      <c r="N52">
        <v>5.7629619999999999</v>
      </c>
      <c r="O52">
        <v>9.2637999999999998E-2</v>
      </c>
      <c r="P52">
        <v>2.3E-5</v>
      </c>
      <c r="Q52">
        <v>2.7694030000000001</v>
      </c>
      <c r="Y52">
        <f t="shared" si="3"/>
        <v>0.58610000000003382</v>
      </c>
      <c r="Z52" s="4">
        <f t="shared" si="4"/>
        <v>15.805835181708694</v>
      </c>
    </row>
    <row r="53" spans="1:26" x14ac:dyDescent="0.25">
      <c r="A53">
        <v>1.7701899999999999</v>
      </c>
      <c r="B53">
        <v>0.44428200000000001</v>
      </c>
      <c r="C53">
        <v>2.859928</v>
      </c>
      <c r="D53">
        <v>0.57124799999999998</v>
      </c>
      <c r="E53">
        <v>5.0436870000000003</v>
      </c>
      <c r="F53">
        <v>5.0052029999999998</v>
      </c>
      <c r="G53">
        <v>1.504745</v>
      </c>
      <c r="K53">
        <v>2.124228</v>
      </c>
      <c r="L53">
        <v>244.35517899999999</v>
      </c>
      <c r="M53">
        <v>571.98565699999995</v>
      </c>
      <c r="N53">
        <v>5.7696069999999997</v>
      </c>
      <c r="O53">
        <v>8.7374999999999994E-2</v>
      </c>
      <c r="P53">
        <v>2.0999999999999999E-5</v>
      </c>
      <c r="Q53">
        <v>2.7299319999999998</v>
      </c>
      <c r="Y53">
        <f t="shared" si="3"/>
        <v>0.52029999999998466</v>
      </c>
      <c r="Z53" s="4">
        <f t="shared" si="4"/>
        <v>16.793196232943028</v>
      </c>
    </row>
    <row r="54" spans="1:26" x14ac:dyDescent="0.25">
      <c r="A54">
        <v>1.8070299999999999</v>
      </c>
      <c r="B54">
        <v>0.45678099999999999</v>
      </c>
      <c r="C54">
        <v>2.8592710000000001</v>
      </c>
      <c r="D54">
        <v>0.57453699999999996</v>
      </c>
      <c r="E54">
        <v>5.0463190000000004</v>
      </c>
      <c r="F54">
        <v>5.0055319999999996</v>
      </c>
      <c r="G54">
        <v>1.5014559999999999</v>
      </c>
      <c r="K54">
        <v>2.1684359999999998</v>
      </c>
      <c r="L54">
        <v>251.22976700000001</v>
      </c>
      <c r="M54">
        <v>571.85412599999995</v>
      </c>
      <c r="N54">
        <v>5.8028279999999999</v>
      </c>
      <c r="O54">
        <v>9.2637999999999998E-2</v>
      </c>
      <c r="P54">
        <v>2.1999999999999999E-5</v>
      </c>
      <c r="Q54">
        <v>2.6860750000000002</v>
      </c>
      <c r="Y54">
        <f t="shared" si="3"/>
        <v>0.55319999999996483</v>
      </c>
      <c r="Z54" s="4">
        <f t="shared" si="4"/>
        <v>16.745842371656884</v>
      </c>
    </row>
    <row r="55" spans="1:26" x14ac:dyDescent="0.25">
      <c r="A55">
        <v>1.8307119999999999</v>
      </c>
      <c r="B55">
        <v>0.46730699999999997</v>
      </c>
      <c r="C55">
        <v>2.8612440000000001</v>
      </c>
      <c r="D55">
        <v>0.57387999999999995</v>
      </c>
      <c r="E55">
        <v>5.0463190000000004</v>
      </c>
      <c r="F55">
        <v>5.004874</v>
      </c>
      <c r="G55">
        <v>1.499482</v>
      </c>
      <c r="K55">
        <v>2.1968549999999998</v>
      </c>
      <c r="L55">
        <v>257.01889</v>
      </c>
      <c r="M55">
        <v>572.24877900000001</v>
      </c>
      <c r="N55">
        <v>5.7961840000000002</v>
      </c>
      <c r="O55">
        <v>9.2637999999999998E-2</v>
      </c>
      <c r="P55">
        <v>1.9000000000000001E-5</v>
      </c>
      <c r="Q55">
        <v>2.6597599999999999</v>
      </c>
      <c r="Y55">
        <f t="shared" si="3"/>
        <v>0.4874000000000045</v>
      </c>
      <c r="Z55" s="4">
        <f t="shared" si="4"/>
        <v>19.006565449322764</v>
      </c>
    </row>
    <row r="56" spans="1:26" x14ac:dyDescent="0.25">
      <c r="A56">
        <v>1.853737</v>
      </c>
      <c r="B56">
        <v>0.47684599999999999</v>
      </c>
      <c r="C56">
        <v>2.8595989999999998</v>
      </c>
      <c r="D56">
        <v>0.57486599999999999</v>
      </c>
      <c r="E56">
        <v>5.0466480000000002</v>
      </c>
      <c r="F56">
        <v>5.0055319999999996</v>
      </c>
      <c r="G56">
        <v>1.4961930000000001</v>
      </c>
      <c r="K56">
        <v>2.224485</v>
      </c>
      <c r="L56">
        <v>262.265289</v>
      </c>
      <c r="M56">
        <v>571.91986099999997</v>
      </c>
      <c r="N56">
        <v>5.8061509999999998</v>
      </c>
      <c r="O56">
        <v>9.3296000000000004E-2</v>
      </c>
      <c r="P56">
        <v>2.1999999999999999E-5</v>
      </c>
      <c r="Q56">
        <v>2.615904</v>
      </c>
      <c r="Y56">
        <f t="shared" si="3"/>
        <v>0.55319999999996483</v>
      </c>
      <c r="Z56" s="4">
        <f t="shared" si="4"/>
        <v>16.864786695590372</v>
      </c>
    </row>
    <row r="57" spans="1:26" x14ac:dyDescent="0.25">
      <c r="A57">
        <v>1.881696</v>
      </c>
      <c r="B57">
        <v>0.48868699999999998</v>
      </c>
      <c r="C57">
        <v>2.859928</v>
      </c>
      <c r="D57">
        <v>0.57947099999999996</v>
      </c>
      <c r="E57">
        <v>5.0443449999999999</v>
      </c>
      <c r="F57">
        <v>5.0045450000000002</v>
      </c>
      <c r="G57">
        <v>1.4935609999999999</v>
      </c>
      <c r="K57">
        <v>2.258035</v>
      </c>
      <c r="L57">
        <v>268.77804600000002</v>
      </c>
      <c r="M57">
        <v>571.98565699999995</v>
      </c>
      <c r="N57">
        <v>5.8526610000000003</v>
      </c>
      <c r="O57">
        <v>8.8691000000000006E-2</v>
      </c>
      <c r="P57">
        <v>1.8E-5</v>
      </c>
      <c r="Q57">
        <v>2.5808179999999998</v>
      </c>
      <c r="Y57">
        <f t="shared" si="3"/>
        <v>0.45450000000002433</v>
      </c>
      <c r="Z57" s="4">
        <f t="shared" si="4"/>
        <v>19.513971397138672</v>
      </c>
    </row>
    <row r="58" spans="1:26" x14ac:dyDescent="0.25">
      <c r="A58">
        <v>1.9070240000000001</v>
      </c>
      <c r="B58">
        <v>0.49987100000000001</v>
      </c>
      <c r="C58">
        <v>2.8595989999999998</v>
      </c>
      <c r="D58">
        <v>0.57947099999999996</v>
      </c>
      <c r="E58">
        <v>5.0459899999999998</v>
      </c>
      <c r="F58">
        <v>5.0042160000000004</v>
      </c>
      <c r="G58">
        <v>1.492246</v>
      </c>
      <c r="K58">
        <v>2.2884280000000001</v>
      </c>
      <c r="L58">
        <v>274.92898600000001</v>
      </c>
      <c r="M58">
        <v>571.91986099999997</v>
      </c>
      <c r="N58">
        <v>5.8526610000000003</v>
      </c>
      <c r="O58">
        <v>9.1980000000000006E-2</v>
      </c>
      <c r="P58">
        <v>1.7E-5</v>
      </c>
      <c r="Q58">
        <v>2.5632760000000001</v>
      </c>
      <c r="Y58">
        <f t="shared" si="3"/>
        <v>0.42160000000004416</v>
      </c>
      <c r="Z58" s="4">
        <f t="shared" si="4"/>
        <v>21.816888045538512</v>
      </c>
    </row>
    <row r="59" spans="1:26" x14ac:dyDescent="0.25">
      <c r="A59">
        <v>1.940574</v>
      </c>
      <c r="B59">
        <v>0.51335699999999995</v>
      </c>
      <c r="C59">
        <v>2.8605860000000001</v>
      </c>
      <c r="D59">
        <v>0.58309</v>
      </c>
      <c r="E59">
        <v>5.0466480000000002</v>
      </c>
      <c r="F59">
        <v>5.0045450000000002</v>
      </c>
      <c r="G59">
        <v>1.489943</v>
      </c>
      <c r="K59">
        <v>2.3286889999999998</v>
      </c>
      <c r="L59">
        <v>282.34631300000001</v>
      </c>
      <c r="M59">
        <v>572.11724900000002</v>
      </c>
      <c r="N59">
        <v>5.8892049999999996</v>
      </c>
      <c r="O59">
        <v>9.3296000000000004E-2</v>
      </c>
      <c r="P59">
        <v>1.8E-5</v>
      </c>
      <c r="Q59">
        <v>2.532575</v>
      </c>
      <c r="Y59">
        <f t="shared" si="3"/>
        <v>0.45450000000002433</v>
      </c>
      <c r="Z59" s="4">
        <f t="shared" si="4"/>
        <v>20.527172717270627</v>
      </c>
    </row>
    <row r="60" spans="1:26" x14ac:dyDescent="0.25">
      <c r="A60">
        <v>1.975441</v>
      </c>
      <c r="B60">
        <v>0.527501</v>
      </c>
      <c r="C60">
        <v>2.8602569999999998</v>
      </c>
      <c r="D60">
        <v>0.58670800000000001</v>
      </c>
      <c r="E60">
        <v>5.045661</v>
      </c>
      <c r="F60">
        <v>5.0032290000000001</v>
      </c>
      <c r="G60">
        <v>1.4889559999999999</v>
      </c>
      <c r="K60">
        <v>2.3705289999999999</v>
      </c>
      <c r="L60">
        <v>290.12545799999998</v>
      </c>
      <c r="M60">
        <v>572.05145300000004</v>
      </c>
      <c r="N60">
        <v>5.9257479999999996</v>
      </c>
      <c r="O60">
        <v>9.1322E-2</v>
      </c>
      <c r="P60">
        <v>1.2999999999999999E-5</v>
      </c>
      <c r="Q60">
        <v>2.5194179999999999</v>
      </c>
      <c r="Y60">
        <f t="shared" si="3"/>
        <v>0.32290000000001484</v>
      </c>
      <c r="Z60" s="4">
        <f t="shared" si="4"/>
        <v>28.281820997211462</v>
      </c>
    </row>
    <row r="61" spans="1:26" x14ac:dyDescent="0.25">
      <c r="A61">
        <v>2.0073470000000002</v>
      </c>
      <c r="B61">
        <v>0.53901299999999996</v>
      </c>
      <c r="C61">
        <v>2.8619020000000002</v>
      </c>
      <c r="D61">
        <v>0.58901000000000003</v>
      </c>
      <c r="E61">
        <v>5.0446739999999997</v>
      </c>
      <c r="F61">
        <v>5.0029000000000003</v>
      </c>
      <c r="G61">
        <v>1.4869829999999999</v>
      </c>
      <c r="K61">
        <v>2.4088159999999998</v>
      </c>
      <c r="L61">
        <v>296.45730600000002</v>
      </c>
      <c r="M61">
        <v>572.38037099999997</v>
      </c>
      <c r="N61">
        <v>5.9490040000000004</v>
      </c>
      <c r="O61">
        <v>8.9348999999999998E-2</v>
      </c>
      <c r="P61">
        <v>1.2E-5</v>
      </c>
      <c r="Q61">
        <v>2.4931040000000002</v>
      </c>
      <c r="Y61">
        <f t="shared" si="3"/>
        <v>0.29000000000003467</v>
      </c>
      <c r="Z61" s="4">
        <f t="shared" si="4"/>
        <v>30.809999999996318</v>
      </c>
    </row>
    <row r="62" spans="1:26" x14ac:dyDescent="0.25">
      <c r="A62">
        <v>2.0376080000000001</v>
      </c>
      <c r="B62">
        <v>0.55480200000000002</v>
      </c>
      <c r="C62">
        <v>2.8605860000000001</v>
      </c>
      <c r="D62">
        <v>0.58901000000000003</v>
      </c>
      <c r="E62">
        <v>5.0459899999999998</v>
      </c>
      <c r="F62">
        <v>5.002243</v>
      </c>
      <c r="G62">
        <v>1.4856670000000001</v>
      </c>
      <c r="K62">
        <v>2.4451299999999998</v>
      </c>
      <c r="L62">
        <v>305.14099099999999</v>
      </c>
      <c r="M62">
        <v>572.11724900000002</v>
      </c>
      <c r="N62">
        <v>5.9490040000000004</v>
      </c>
      <c r="O62">
        <v>9.1980000000000006E-2</v>
      </c>
      <c r="P62">
        <v>9.0000000000000002E-6</v>
      </c>
      <c r="Q62">
        <v>2.4755609999999999</v>
      </c>
      <c r="Y62">
        <f t="shared" si="3"/>
        <v>0.2242999999999995</v>
      </c>
      <c r="Z62" s="4">
        <f t="shared" si="4"/>
        <v>41.007579135087028</v>
      </c>
    </row>
    <row r="63" spans="1:26" x14ac:dyDescent="0.25">
      <c r="A63">
        <v>2.067869</v>
      </c>
      <c r="B63">
        <v>0.56762999999999997</v>
      </c>
      <c r="C63">
        <v>2.8592710000000001</v>
      </c>
      <c r="D63">
        <v>0.59197100000000002</v>
      </c>
      <c r="E63">
        <v>5.0453320000000001</v>
      </c>
      <c r="F63">
        <v>5.0029000000000003</v>
      </c>
      <c r="G63">
        <v>1.4856670000000001</v>
      </c>
      <c r="K63">
        <v>2.4814430000000001</v>
      </c>
      <c r="L63">
        <v>312.19650300000001</v>
      </c>
      <c r="M63">
        <v>571.85412599999995</v>
      </c>
      <c r="N63">
        <v>5.9789029999999999</v>
      </c>
      <c r="O63">
        <v>9.0663999999999995E-2</v>
      </c>
      <c r="P63">
        <v>1.2E-5</v>
      </c>
      <c r="Q63">
        <v>2.4755609999999999</v>
      </c>
      <c r="Y63">
        <f t="shared" si="3"/>
        <v>0.29000000000003467</v>
      </c>
      <c r="Z63" s="4">
        <f t="shared" si="4"/>
        <v>31.26344827585833</v>
      </c>
    </row>
    <row r="64" spans="1:26" x14ac:dyDescent="0.25">
      <c r="A64">
        <v>2.0974729999999999</v>
      </c>
      <c r="B64">
        <v>0.58045800000000003</v>
      </c>
      <c r="C64">
        <v>2.8602569999999998</v>
      </c>
      <c r="D64">
        <v>0.59526000000000001</v>
      </c>
      <c r="E64">
        <v>5.0450030000000003</v>
      </c>
      <c r="F64">
        <v>5.0029000000000003</v>
      </c>
      <c r="G64">
        <v>1.4863249999999999</v>
      </c>
      <c r="K64">
        <v>2.5169679999999999</v>
      </c>
      <c r="L64">
        <v>319.25198399999999</v>
      </c>
      <c r="M64">
        <v>572.05145300000004</v>
      </c>
      <c r="N64">
        <v>6.0121250000000002</v>
      </c>
      <c r="O64">
        <v>9.0007000000000004E-2</v>
      </c>
      <c r="P64">
        <v>1.2E-5</v>
      </c>
      <c r="Q64">
        <v>2.4843320000000002</v>
      </c>
      <c r="Y64">
        <f t="shared" si="3"/>
        <v>0.29000000000003467</v>
      </c>
      <c r="Z64" s="4">
        <f t="shared" si="4"/>
        <v>31.036896551720428</v>
      </c>
    </row>
    <row r="65" spans="1:26" x14ac:dyDescent="0.25">
      <c r="A65">
        <v>2.1343130000000001</v>
      </c>
      <c r="B65">
        <v>0.59427300000000005</v>
      </c>
      <c r="C65">
        <v>2.862231</v>
      </c>
      <c r="D65">
        <v>0.59821999999999997</v>
      </c>
      <c r="E65">
        <v>5.045661</v>
      </c>
      <c r="F65">
        <v>5.0032290000000001</v>
      </c>
      <c r="G65">
        <v>1.4866539999999999</v>
      </c>
      <c r="K65">
        <v>2.561175</v>
      </c>
      <c r="L65">
        <v>326.850189</v>
      </c>
      <c r="M65">
        <v>572.44616699999995</v>
      </c>
      <c r="N65">
        <v>6.0420239999999996</v>
      </c>
      <c r="O65">
        <v>9.1322E-2</v>
      </c>
      <c r="P65">
        <v>1.2999999999999999E-5</v>
      </c>
      <c r="Q65">
        <v>2.4887190000000001</v>
      </c>
      <c r="Y65">
        <f t="shared" si="3"/>
        <v>0.32290000000001484</v>
      </c>
      <c r="Z65" s="4">
        <f t="shared" si="4"/>
        <v>28.281820997211462</v>
      </c>
    </row>
    <row r="66" spans="1:26" x14ac:dyDescent="0.25">
      <c r="A66">
        <v>2.1649029999999998</v>
      </c>
      <c r="B66">
        <v>0.61006199999999999</v>
      </c>
      <c r="C66">
        <v>2.8612440000000001</v>
      </c>
      <c r="D66">
        <v>0.60019400000000001</v>
      </c>
      <c r="E66">
        <v>5.045661</v>
      </c>
      <c r="F66">
        <v>5.0032290000000001</v>
      </c>
      <c r="G66">
        <v>1.4886269999999999</v>
      </c>
      <c r="K66">
        <v>2.5978840000000001</v>
      </c>
      <c r="L66">
        <v>335.533905</v>
      </c>
      <c r="M66">
        <v>572.24877900000001</v>
      </c>
      <c r="N66">
        <v>6.0619569999999996</v>
      </c>
      <c r="O66">
        <v>9.1322E-2</v>
      </c>
      <c r="P66">
        <v>1.2999999999999999E-5</v>
      </c>
      <c r="Q66">
        <v>2.5150329999999999</v>
      </c>
      <c r="Y66">
        <f t="shared" si="3"/>
        <v>0.32290000000001484</v>
      </c>
      <c r="Z66" s="4">
        <f t="shared" si="4"/>
        <v>28.281820997211462</v>
      </c>
    </row>
    <row r="67" spans="1:26" x14ac:dyDescent="0.25">
      <c r="A67">
        <v>2.1885859999999999</v>
      </c>
      <c r="B67">
        <v>0.62453400000000003</v>
      </c>
      <c r="C67">
        <v>2.8576260000000002</v>
      </c>
      <c r="D67">
        <v>0.60052300000000003</v>
      </c>
      <c r="E67">
        <v>5.0443449999999999</v>
      </c>
      <c r="F67">
        <v>5.003558</v>
      </c>
      <c r="G67">
        <v>1.4909300000000001</v>
      </c>
      <c r="K67">
        <v>2.6263030000000001</v>
      </c>
      <c r="L67">
        <v>343.49392699999999</v>
      </c>
      <c r="M67">
        <v>571.52514599999995</v>
      </c>
      <c r="N67">
        <v>6.0652799999999996</v>
      </c>
      <c r="O67">
        <v>8.8691000000000006E-2</v>
      </c>
      <c r="P67">
        <v>1.4E-5</v>
      </c>
      <c r="Q67">
        <v>2.5457329999999998</v>
      </c>
      <c r="Y67">
        <f t="shared" si="3"/>
        <v>0.35579999999999501</v>
      </c>
      <c r="Z67" s="4">
        <f t="shared" si="4"/>
        <v>24.927206295672079</v>
      </c>
    </row>
    <row r="68" spans="1:26" x14ac:dyDescent="0.25">
      <c r="A68">
        <v>2.2257549999999999</v>
      </c>
      <c r="B68">
        <v>0.63999399999999995</v>
      </c>
      <c r="C68">
        <v>2.8605860000000001</v>
      </c>
      <c r="D68">
        <v>0.60348299999999999</v>
      </c>
      <c r="E68">
        <v>5.0450030000000003</v>
      </c>
      <c r="F68">
        <v>5.0045450000000002</v>
      </c>
      <c r="G68">
        <v>1.4919169999999999</v>
      </c>
      <c r="K68">
        <v>2.670906</v>
      </c>
      <c r="L68">
        <v>351.99670400000002</v>
      </c>
      <c r="M68">
        <v>572.11724900000002</v>
      </c>
      <c r="N68">
        <v>6.0951789999999999</v>
      </c>
      <c r="O68">
        <v>9.0007000000000004E-2</v>
      </c>
      <c r="P68">
        <v>1.8E-5</v>
      </c>
      <c r="Q68">
        <v>2.5588890000000002</v>
      </c>
      <c r="Y68">
        <f t="shared" si="3"/>
        <v>0.45450000000002433</v>
      </c>
      <c r="Z68" s="4">
        <f t="shared" si="4"/>
        <v>19.803520352034141</v>
      </c>
    </row>
    <row r="69" spans="1:26" x14ac:dyDescent="0.25">
      <c r="A69">
        <v>2.2593049999999999</v>
      </c>
      <c r="B69">
        <v>0.65315100000000004</v>
      </c>
      <c r="C69">
        <v>2.8595989999999998</v>
      </c>
      <c r="D69">
        <v>0.60677199999999998</v>
      </c>
      <c r="E69">
        <v>5.0463190000000004</v>
      </c>
      <c r="F69">
        <v>5.0042160000000004</v>
      </c>
      <c r="G69">
        <v>1.4932319999999999</v>
      </c>
      <c r="K69">
        <v>2.7111670000000001</v>
      </c>
      <c r="L69">
        <v>359.23312399999998</v>
      </c>
      <c r="M69">
        <v>571.91986099999997</v>
      </c>
      <c r="N69">
        <v>6.1284010000000002</v>
      </c>
      <c r="O69">
        <v>9.2637999999999998E-2</v>
      </c>
      <c r="P69">
        <v>1.7E-5</v>
      </c>
      <c r="Q69">
        <v>2.5764320000000001</v>
      </c>
      <c r="Y69">
        <f t="shared" si="3"/>
        <v>0.42160000000004416</v>
      </c>
      <c r="Z69" s="4">
        <f t="shared" si="4"/>
        <v>21.972960151800354</v>
      </c>
    </row>
    <row r="70" spans="1:26" x14ac:dyDescent="0.25">
      <c r="A70">
        <v>2.2945009999999999</v>
      </c>
      <c r="B70">
        <v>0.67091299999999998</v>
      </c>
      <c r="C70">
        <v>2.8602569999999998</v>
      </c>
      <c r="D70">
        <v>0.60874600000000001</v>
      </c>
      <c r="E70">
        <v>5.0463190000000004</v>
      </c>
      <c r="F70">
        <v>5.0045450000000002</v>
      </c>
      <c r="G70">
        <v>1.494219</v>
      </c>
      <c r="K70">
        <v>2.7534010000000002</v>
      </c>
      <c r="L70">
        <v>369.00225799999998</v>
      </c>
      <c r="M70">
        <v>572.05145300000004</v>
      </c>
      <c r="N70">
        <v>6.1483340000000002</v>
      </c>
      <c r="O70">
        <v>9.2637999999999998E-2</v>
      </c>
      <c r="P70">
        <v>1.8E-5</v>
      </c>
      <c r="Q70">
        <v>2.5895890000000001</v>
      </c>
      <c r="Y70">
        <f t="shared" si="3"/>
        <v>0.45450000000002433</v>
      </c>
      <c r="Z70" s="4">
        <f t="shared" si="4"/>
        <v>20.382398239822891</v>
      </c>
    </row>
    <row r="71" spans="1:26" x14ac:dyDescent="0.25">
      <c r="A71">
        <v>2.3191700000000002</v>
      </c>
      <c r="B71">
        <v>0.68505700000000003</v>
      </c>
      <c r="C71">
        <v>2.8615729999999999</v>
      </c>
      <c r="D71">
        <v>0.60808799999999996</v>
      </c>
      <c r="E71">
        <v>5.0450030000000003</v>
      </c>
      <c r="F71">
        <v>5.004874</v>
      </c>
      <c r="G71">
        <v>1.4935609999999999</v>
      </c>
      <c r="K71">
        <v>2.7830050000000002</v>
      </c>
      <c r="L71">
        <v>376.78140300000001</v>
      </c>
      <c r="M71">
        <v>572.31457499999999</v>
      </c>
      <c r="N71">
        <v>6.1416899999999996</v>
      </c>
      <c r="O71">
        <v>9.0007000000000004E-2</v>
      </c>
      <c r="P71">
        <v>1.9000000000000001E-5</v>
      </c>
      <c r="Q71">
        <v>2.5808179999999998</v>
      </c>
      <c r="Y71">
        <f t="shared" si="3"/>
        <v>0.4874000000000045</v>
      </c>
      <c r="Z71" s="4">
        <f t="shared" si="4"/>
        <v>18.466762412802456</v>
      </c>
    </row>
    <row r="72" spans="1:26" x14ac:dyDescent="0.25">
      <c r="A72">
        <v>2.3579840000000001</v>
      </c>
      <c r="B72">
        <v>0.70117499999999999</v>
      </c>
      <c r="C72">
        <v>2.8605860000000001</v>
      </c>
      <c r="D72">
        <v>0.61400900000000003</v>
      </c>
      <c r="E72">
        <v>5.045661</v>
      </c>
      <c r="F72">
        <v>5.0045450000000002</v>
      </c>
      <c r="G72">
        <v>1.492575</v>
      </c>
      <c r="K72">
        <v>2.8295810000000001</v>
      </c>
      <c r="L72">
        <v>385.64599600000003</v>
      </c>
      <c r="M72">
        <v>572.11724900000002</v>
      </c>
      <c r="N72">
        <v>6.2014880000000003</v>
      </c>
      <c r="O72">
        <v>9.1322E-2</v>
      </c>
      <c r="P72">
        <v>1.8E-5</v>
      </c>
      <c r="Q72">
        <v>2.5676610000000002</v>
      </c>
      <c r="Y72">
        <f t="shared" si="3"/>
        <v>0.45450000000002433</v>
      </c>
      <c r="Z72" s="4">
        <f t="shared" si="4"/>
        <v>20.092849284927418</v>
      </c>
    </row>
    <row r="73" spans="1:26" x14ac:dyDescent="0.25">
      <c r="A73">
        <v>2.2415430000000001</v>
      </c>
      <c r="B73">
        <v>0.66663700000000004</v>
      </c>
      <c r="C73">
        <v>2.9109120000000002</v>
      </c>
      <c r="D73">
        <v>0.61368</v>
      </c>
      <c r="E73">
        <v>5.0463190000000004</v>
      </c>
      <c r="F73">
        <v>5.004874</v>
      </c>
      <c r="G73">
        <v>1.4935609999999999</v>
      </c>
      <c r="K73">
        <v>2.6898520000000001</v>
      </c>
      <c r="L73">
        <v>366.65045199999997</v>
      </c>
      <c r="M73">
        <v>582.18243399999994</v>
      </c>
      <c r="N73">
        <v>6.1981659999999996</v>
      </c>
      <c r="O73">
        <v>9.2637999999999998E-2</v>
      </c>
      <c r="P73">
        <v>1.9000000000000001E-5</v>
      </c>
      <c r="Q73">
        <v>2.5808179999999998</v>
      </c>
      <c r="Y73">
        <f t="shared" si="3"/>
        <v>0.4874000000000045</v>
      </c>
      <c r="Z73" s="4">
        <f t="shared" si="4"/>
        <v>19.006565449322764</v>
      </c>
    </row>
    <row r="74" spans="1:26" x14ac:dyDescent="0.25">
      <c r="A74">
        <v>2.0813549999999998</v>
      </c>
      <c r="B74">
        <v>0.61598200000000003</v>
      </c>
      <c r="C74">
        <v>2.9602520000000001</v>
      </c>
      <c r="D74">
        <v>0.61072000000000004</v>
      </c>
      <c r="E74">
        <v>5.045661</v>
      </c>
      <c r="F74">
        <v>5.0052029999999998</v>
      </c>
      <c r="G74">
        <v>1.492246</v>
      </c>
      <c r="K74">
        <v>2.4976259999999999</v>
      </c>
      <c r="L74">
        <v>338.79028299999999</v>
      </c>
      <c r="M74">
        <v>592.05029300000001</v>
      </c>
      <c r="N74">
        <v>6.1682670000000002</v>
      </c>
      <c r="O74">
        <v>9.1322E-2</v>
      </c>
      <c r="P74">
        <v>2.0999999999999999E-5</v>
      </c>
      <c r="Q74">
        <v>2.5632760000000001</v>
      </c>
      <c r="Y74">
        <f t="shared" si="3"/>
        <v>0.52029999999998466</v>
      </c>
      <c r="Z74" s="4">
        <f t="shared" si="4"/>
        <v>17.551797040169649</v>
      </c>
    </row>
    <row r="75" spans="1:26" x14ac:dyDescent="0.25">
      <c r="A75">
        <v>1.9856370000000001</v>
      </c>
      <c r="B75">
        <v>0.58769499999999997</v>
      </c>
      <c r="C75">
        <v>2.9859079999999998</v>
      </c>
      <c r="D75">
        <v>0.60775900000000005</v>
      </c>
      <c r="E75">
        <v>5.0459899999999998</v>
      </c>
      <c r="F75">
        <v>5.004874</v>
      </c>
      <c r="G75">
        <v>1.489285</v>
      </c>
      <c r="K75">
        <v>2.382765</v>
      </c>
      <c r="L75">
        <v>323.23202500000002</v>
      </c>
      <c r="M75">
        <v>597.18158000000005</v>
      </c>
      <c r="N75">
        <v>6.1383669999999997</v>
      </c>
      <c r="O75">
        <v>9.1980000000000006E-2</v>
      </c>
      <c r="P75">
        <v>1.9000000000000001E-5</v>
      </c>
      <c r="Q75">
        <v>2.523803</v>
      </c>
      <c r="Y75">
        <f t="shared" si="3"/>
        <v>0.4874000000000045</v>
      </c>
      <c r="Z75" s="4">
        <f t="shared" si="4"/>
        <v>18.871563397619852</v>
      </c>
    </row>
    <row r="76" spans="1:26" x14ac:dyDescent="0.25">
      <c r="A76">
        <v>1.9274169999999999</v>
      </c>
      <c r="B76">
        <v>0.56762999999999997</v>
      </c>
      <c r="C76">
        <v>3.001039</v>
      </c>
      <c r="D76">
        <v>0.60775900000000005</v>
      </c>
      <c r="E76">
        <v>5.0450030000000003</v>
      </c>
      <c r="F76">
        <v>5.0045450000000002</v>
      </c>
      <c r="G76">
        <v>1.4863249999999999</v>
      </c>
      <c r="K76">
        <v>2.3129010000000001</v>
      </c>
      <c r="L76">
        <v>312.19650300000001</v>
      </c>
      <c r="M76">
        <v>600.20770300000004</v>
      </c>
      <c r="N76">
        <v>6.1383669999999997</v>
      </c>
      <c r="O76">
        <v>9.0007000000000004E-2</v>
      </c>
      <c r="P76">
        <v>1.8E-5</v>
      </c>
      <c r="Q76">
        <v>2.4843320000000002</v>
      </c>
      <c r="Y76">
        <f t="shared" si="3"/>
        <v>0.45450000000002433</v>
      </c>
      <c r="Z76" s="4">
        <f t="shared" si="4"/>
        <v>19.803520352034141</v>
      </c>
    </row>
    <row r="77" spans="1:26" x14ac:dyDescent="0.25">
      <c r="A77">
        <v>1.945508</v>
      </c>
      <c r="B77">
        <v>0.57355100000000003</v>
      </c>
      <c r="C77">
        <v>3.0112350000000001</v>
      </c>
      <c r="D77">
        <v>0.61039100000000002</v>
      </c>
      <c r="E77">
        <v>5.0436870000000003</v>
      </c>
      <c r="F77">
        <v>5.0042160000000004</v>
      </c>
      <c r="G77">
        <v>1.482707</v>
      </c>
      <c r="K77">
        <v>2.3346100000000001</v>
      </c>
      <c r="L77">
        <v>315.45288099999999</v>
      </c>
      <c r="M77">
        <v>602.24707000000001</v>
      </c>
      <c r="N77">
        <v>6.1649450000000003</v>
      </c>
      <c r="O77">
        <v>8.7374999999999994E-2</v>
      </c>
      <c r="P77">
        <v>1.7E-5</v>
      </c>
      <c r="Q77">
        <v>2.4360900000000001</v>
      </c>
      <c r="Y77">
        <f t="shared" si="3"/>
        <v>0.42160000000004416</v>
      </c>
      <c r="Z77" s="4">
        <f t="shared" si="4"/>
        <v>20.724620493356461</v>
      </c>
    </row>
    <row r="78" spans="1:26" x14ac:dyDescent="0.25">
      <c r="A78">
        <v>2.011952</v>
      </c>
      <c r="B78">
        <v>0.60019400000000001</v>
      </c>
      <c r="C78">
        <v>3.0161690000000001</v>
      </c>
      <c r="D78">
        <v>0.61269300000000004</v>
      </c>
      <c r="E78">
        <v>5.0446739999999997</v>
      </c>
      <c r="F78">
        <v>5.0029000000000003</v>
      </c>
      <c r="G78">
        <v>1.4784310000000001</v>
      </c>
      <c r="K78">
        <v>2.414342</v>
      </c>
      <c r="L78">
        <v>330.10659800000002</v>
      </c>
      <c r="M78">
        <v>603.23388699999998</v>
      </c>
      <c r="N78">
        <v>6.1882000000000001</v>
      </c>
      <c r="O78">
        <v>8.9348999999999998E-2</v>
      </c>
      <c r="P78">
        <v>1.2E-5</v>
      </c>
      <c r="Q78">
        <v>2.3790749999999998</v>
      </c>
      <c r="Y78">
        <f t="shared" si="3"/>
        <v>0.29000000000003467</v>
      </c>
      <c r="Z78" s="4">
        <f t="shared" si="4"/>
        <v>30.809999999996318</v>
      </c>
    </row>
    <row r="79" spans="1:26" x14ac:dyDescent="0.25">
      <c r="A79">
        <v>2.0359630000000002</v>
      </c>
      <c r="B79">
        <v>0.61039100000000002</v>
      </c>
      <c r="C79">
        <v>3.0342600000000002</v>
      </c>
      <c r="D79">
        <v>0.61269300000000004</v>
      </c>
      <c r="E79">
        <v>5.0446739999999997</v>
      </c>
      <c r="F79">
        <v>5.0029000000000003</v>
      </c>
      <c r="G79">
        <v>1.475141</v>
      </c>
      <c r="K79">
        <v>2.4431560000000001</v>
      </c>
      <c r="L79">
        <v>335.71481299999999</v>
      </c>
      <c r="M79">
        <v>606.85205099999996</v>
      </c>
      <c r="N79">
        <v>6.1882000000000001</v>
      </c>
      <c r="O79">
        <v>8.9348999999999998E-2</v>
      </c>
      <c r="P79">
        <v>1.2E-5</v>
      </c>
      <c r="Q79">
        <v>2.3352189999999999</v>
      </c>
      <c r="Y79">
        <f t="shared" si="3"/>
        <v>0.29000000000003467</v>
      </c>
      <c r="Z79" s="4">
        <f t="shared" si="4"/>
        <v>30.809999999996318</v>
      </c>
    </row>
    <row r="80" spans="1:26" x14ac:dyDescent="0.25">
      <c r="A80">
        <v>2.0425420000000001</v>
      </c>
      <c r="B80">
        <v>0.61532399999999998</v>
      </c>
      <c r="C80">
        <v>3.052022</v>
      </c>
      <c r="D80">
        <v>0.61269300000000004</v>
      </c>
      <c r="E80">
        <v>5.0446739999999997</v>
      </c>
      <c r="F80">
        <v>5.0032290000000001</v>
      </c>
      <c r="G80">
        <v>1.47251</v>
      </c>
      <c r="K80">
        <v>2.45105</v>
      </c>
      <c r="L80">
        <v>338.42846700000001</v>
      </c>
      <c r="M80">
        <v>610.40448000000004</v>
      </c>
      <c r="N80">
        <v>6.1882000000000001</v>
      </c>
      <c r="O80">
        <v>8.9348999999999998E-2</v>
      </c>
      <c r="P80">
        <v>1.2999999999999999E-5</v>
      </c>
      <c r="Q80">
        <v>2.3001330000000002</v>
      </c>
      <c r="Y80">
        <f t="shared" si="3"/>
        <v>0.32290000000001484</v>
      </c>
      <c r="Z80" s="4">
        <f t="shared" si="4"/>
        <v>27.670795912045804</v>
      </c>
    </row>
    <row r="81" spans="1:26" x14ac:dyDescent="0.25">
      <c r="A81">
        <v>2.0422129999999998</v>
      </c>
      <c r="B81">
        <v>0.61565300000000001</v>
      </c>
      <c r="C81">
        <v>3.0743900000000002</v>
      </c>
      <c r="D81">
        <v>0.61400900000000003</v>
      </c>
      <c r="E81">
        <v>5.0453320000000001</v>
      </c>
      <c r="F81">
        <v>5.0038869999999998</v>
      </c>
      <c r="G81">
        <v>1.4695499999999999</v>
      </c>
      <c r="K81">
        <v>2.4506549999999998</v>
      </c>
      <c r="L81">
        <v>338.609375</v>
      </c>
      <c r="M81">
        <v>614.87792999999999</v>
      </c>
      <c r="N81">
        <v>6.2014880000000003</v>
      </c>
      <c r="O81">
        <v>9.0663999999999995E-2</v>
      </c>
      <c r="P81">
        <v>1.5999999999999999E-5</v>
      </c>
      <c r="Q81">
        <v>2.2606619999999999</v>
      </c>
      <c r="Y81">
        <f t="shared" si="3"/>
        <v>0.38869999999997518</v>
      </c>
      <c r="Z81" s="4">
        <f t="shared" si="4"/>
        <v>23.324929251352145</v>
      </c>
    </row>
    <row r="82" spans="1:26" x14ac:dyDescent="0.25">
      <c r="A82">
        <v>2.0372789999999998</v>
      </c>
      <c r="B82">
        <v>0.61631100000000005</v>
      </c>
      <c r="C82">
        <v>3.0951119999999999</v>
      </c>
      <c r="D82">
        <v>0.61236400000000002</v>
      </c>
      <c r="E82">
        <v>5.0450030000000003</v>
      </c>
      <c r="F82">
        <v>5.003558</v>
      </c>
      <c r="G82">
        <v>1.4659310000000001</v>
      </c>
      <c r="K82">
        <v>2.4447350000000001</v>
      </c>
      <c r="L82">
        <v>338.97119099999998</v>
      </c>
      <c r="M82">
        <v>619.02239999999995</v>
      </c>
      <c r="N82">
        <v>6.1848770000000002</v>
      </c>
      <c r="O82">
        <v>9.0007000000000004E-2</v>
      </c>
      <c r="P82">
        <v>1.4E-5</v>
      </c>
      <c r="Q82">
        <v>2.2124190000000001</v>
      </c>
      <c r="Y82">
        <f t="shared" si="3"/>
        <v>0.35579999999999501</v>
      </c>
      <c r="Z82" s="4">
        <f t="shared" si="4"/>
        <v>25.297077009556286</v>
      </c>
    </row>
    <row r="83" spans="1:26" x14ac:dyDescent="0.25">
      <c r="A83">
        <v>2.0435289999999999</v>
      </c>
      <c r="B83">
        <v>0.618614</v>
      </c>
      <c r="C83">
        <v>3.1135320000000002</v>
      </c>
      <c r="D83">
        <v>0.61400900000000003</v>
      </c>
      <c r="E83">
        <v>5.0459899999999998</v>
      </c>
      <c r="F83">
        <v>5.0032290000000001</v>
      </c>
      <c r="G83">
        <v>1.4639580000000001</v>
      </c>
      <c r="K83">
        <v>2.4522349999999999</v>
      </c>
      <c r="L83">
        <v>340.23757899999998</v>
      </c>
      <c r="M83">
        <v>622.70642099999998</v>
      </c>
      <c r="N83">
        <v>6.2014880000000003</v>
      </c>
      <c r="O83">
        <v>9.1980000000000006E-2</v>
      </c>
      <c r="P83">
        <v>1.2999999999999999E-5</v>
      </c>
      <c r="Q83">
        <v>2.186105</v>
      </c>
      <c r="Y83">
        <f t="shared" si="3"/>
        <v>0.32290000000001484</v>
      </c>
      <c r="Z83" s="4">
        <f t="shared" si="4"/>
        <v>28.485599256734524</v>
      </c>
    </row>
    <row r="84" spans="1:26" x14ac:dyDescent="0.25">
      <c r="A84">
        <v>2.0389240000000002</v>
      </c>
      <c r="B84">
        <v>0.62157399999999996</v>
      </c>
      <c r="C84">
        <v>3.1349119999999999</v>
      </c>
      <c r="D84">
        <v>0.61368</v>
      </c>
      <c r="E84">
        <v>5.0463190000000004</v>
      </c>
      <c r="F84">
        <v>5.0032290000000001</v>
      </c>
      <c r="G84">
        <v>1.4609970000000001</v>
      </c>
      <c r="K84">
        <v>2.4467080000000001</v>
      </c>
      <c r="L84">
        <v>341.86575299999998</v>
      </c>
      <c r="M84">
        <v>626.982483</v>
      </c>
      <c r="N84">
        <v>6.1981659999999996</v>
      </c>
      <c r="O84">
        <v>9.2637999999999998E-2</v>
      </c>
      <c r="P84">
        <v>1.2999999999999999E-5</v>
      </c>
      <c r="Q84">
        <v>2.146633</v>
      </c>
      <c r="Y84">
        <f t="shared" ref="Y84:Y147" si="5">(F84-5)*$X$12/5*1</f>
        <v>0.32290000000001484</v>
      </c>
      <c r="Z84" s="4">
        <f t="shared" ref="Z84:Z147" si="6">O84/Y84*100</f>
        <v>28.689377516257586</v>
      </c>
    </row>
    <row r="85" spans="1:26" x14ac:dyDescent="0.25">
      <c r="A85">
        <v>2.0520809999999998</v>
      </c>
      <c r="B85">
        <v>0.62749500000000002</v>
      </c>
      <c r="C85">
        <v>3.1543190000000001</v>
      </c>
      <c r="D85">
        <v>0.61269300000000004</v>
      </c>
      <c r="E85">
        <v>5.0410560000000002</v>
      </c>
      <c r="F85">
        <v>4.8163970000000003</v>
      </c>
      <c r="G85">
        <v>1.457379</v>
      </c>
      <c r="K85">
        <v>2.4624969999999999</v>
      </c>
      <c r="L85">
        <v>345.12213100000002</v>
      </c>
      <c r="M85">
        <v>630.863831</v>
      </c>
      <c r="N85">
        <v>6.1882000000000001</v>
      </c>
      <c r="O85">
        <v>8.2112000000000004E-2</v>
      </c>
      <c r="P85">
        <v>-7.3399999999999995E-4</v>
      </c>
      <c r="Q85">
        <v>2.0983909999999999</v>
      </c>
      <c r="Y85">
        <f t="shared" si="5"/>
        <v>-18.360299999999974</v>
      </c>
      <c r="Z85" s="4">
        <f t="shared" si="6"/>
        <v>-0.4472258078571707</v>
      </c>
    </row>
    <row r="86" spans="1:26" x14ac:dyDescent="0.25">
      <c r="A86">
        <v>2.0612910000000002</v>
      </c>
      <c r="B86">
        <v>0.63177099999999997</v>
      </c>
      <c r="C86">
        <v>3.1756989999999998</v>
      </c>
      <c r="D86">
        <v>0.61335099999999998</v>
      </c>
      <c r="E86">
        <v>5.0407270000000004</v>
      </c>
      <c r="F86">
        <v>4.8236340000000002</v>
      </c>
      <c r="G86">
        <v>1.4544189999999999</v>
      </c>
      <c r="K86">
        <v>2.4735490000000002</v>
      </c>
      <c r="L86">
        <v>347.47396900000001</v>
      </c>
      <c r="M86">
        <v>635.13989300000003</v>
      </c>
      <c r="N86">
        <v>6.1948439999999998</v>
      </c>
      <c r="O86">
        <v>8.1453999999999999E-2</v>
      </c>
      <c r="P86">
        <v>-7.0500000000000001E-4</v>
      </c>
      <c r="Q86">
        <v>2.0589189999999999</v>
      </c>
      <c r="Y86">
        <f t="shared" si="5"/>
        <v>-17.63659999999998</v>
      </c>
      <c r="Z86" s="4">
        <f t="shared" si="6"/>
        <v>-0.46184638762573338</v>
      </c>
    </row>
    <row r="87" spans="1:26" x14ac:dyDescent="0.25">
      <c r="A87">
        <v>2.067869</v>
      </c>
      <c r="B87">
        <v>0.63505999999999996</v>
      </c>
      <c r="C87">
        <v>3.1960929999999999</v>
      </c>
      <c r="D87">
        <v>0.61335099999999998</v>
      </c>
      <c r="E87">
        <v>5.0397400000000001</v>
      </c>
      <c r="F87">
        <v>4.9354699999999996</v>
      </c>
      <c r="G87">
        <v>1.450801</v>
      </c>
      <c r="K87">
        <v>2.4814430000000001</v>
      </c>
      <c r="L87">
        <v>349.28308099999998</v>
      </c>
      <c r="M87">
        <v>639.21862799999997</v>
      </c>
      <c r="N87">
        <v>6.1948439999999998</v>
      </c>
      <c r="O87">
        <v>7.9479999999999995E-2</v>
      </c>
      <c r="P87">
        <v>-2.5799999999999998E-4</v>
      </c>
      <c r="Q87">
        <v>2.0106769999999998</v>
      </c>
      <c r="Y87">
        <f t="shared" si="5"/>
        <v>-6.4530000000000429</v>
      </c>
      <c r="Z87" s="4">
        <f t="shared" si="6"/>
        <v>-1.2316751898341773</v>
      </c>
    </row>
    <row r="88" spans="1:26" x14ac:dyDescent="0.25">
      <c r="A88">
        <v>2.058659</v>
      </c>
      <c r="B88">
        <v>0.63473100000000005</v>
      </c>
      <c r="C88">
        <v>3.2171439999999998</v>
      </c>
      <c r="D88">
        <v>0.61400900000000003</v>
      </c>
      <c r="E88">
        <v>5.0410560000000002</v>
      </c>
      <c r="F88">
        <v>4.9779010000000001</v>
      </c>
      <c r="G88">
        <v>1.447511</v>
      </c>
      <c r="K88">
        <v>2.4703909999999998</v>
      </c>
      <c r="L88">
        <v>349.10217299999999</v>
      </c>
      <c r="M88">
        <v>643.42889400000001</v>
      </c>
      <c r="N88">
        <v>6.2014880000000003</v>
      </c>
      <c r="O88">
        <v>8.2112000000000004E-2</v>
      </c>
      <c r="P88">
        <v>-8.7999999999999998E-5</v>
      </c>
      <c r="Q88">
        <v>1.99447</v>
      </c>
      <c r="Y88">
        <f t="shared" si="5"/>
        <v>-2.2098999999999869</v>
      </c>
      <c r="Z88" s="4">
        <f t="shared" si="6"/>
        <v>-3.715643241775668</v>
      </c>
    </row>
    <row r="89" spans="1:26" x14ac:dyDescent="0.25">
      <c r="A89">
        <v>2.0649090000000001</v>
      </c>
      <c r="B89">
        <v>0.63867799999999997</v>
      </c>
      <c r="C89">
        <v>3.2381959999999999</v>
      </c>
      <c r="D89">
        <v>0.61762700000000004</v>
      </c>
      <c r="E89">
        <v>5.0400689999999999</v>
      </c>
      <c r="F89">
        <v>4.9927029999999997</v>
      </c>
      <c r="G89">
        <v>1.4435640000000001</v>
      </c>
      <c r="K89">
        <v>2.4778910000000001</v>
      </c>
      <c r="L89">
        <v>351.27307100000002</v>
      </c>
      <c r="M89">
        <v>647.63915999999995</v>
      </c>
      <c r="N89">
        <v>6.2380319999999996</v>
      </c>
      <c r="O89">
        <v>8.0138000000000001E-2</v>
      </c>
      <c r="P89">
        <v>-2.9E-5</v>
      </c>
      <c r="Q89">
        <v>1.985698</v>
      </c>
      <c r="Y89">
        <f t="shared" si="5"/>
        <v>-0.7297000000000331</v>
      </c>
      <c r="Z89" s="4">
        <f t="shared" si="6"/>
        <v>-10.98232150198662</v>
      </c>
    </row>
    <row r="90" spans="1:26" x14ac:dyDescent="0.25">
      <c r="A90">
        <v>2.0705010000000001</v>
      </c>
      <c r="B90">
        <v>0.64131000000000005</v>
      </c>
      <c r="C90">
        <v>3.2602340000000001</v>
      </c>
      <c r="D90">
        <v>0.61532399999999998</v>
      </c>
      <c r="E90">
        <v>5.0410560000000002</v>
      </c>
      <c r="F90">
        <v>4.9986240000000004</v>
      </c>
      <c r="G90">
        <v>1.4389590000000001</v>
      </c>
      <c r="K90">
        <v>2.4846010000000001</v>
      </c>
      <c r="L90">
        <v>352.72036700000001</v>
      </c>
      <c r="M90">
        <v>652.04681400000004</v>
      </c>
      <c r="N90">
        <v>6.2147769999999998</v>
      </c>
      <c r="O90">
        <v>8.2112000000000004E-2</v>
      </c>
      <c r="P90">
        <v>-6.0000000000000002E-6</v>
      </c>
      <c r="Q90">
        <v>1.975465</v>
      </c>
      <c r="Y90">
        <f t="shared" si="5"/>
        <v>-0.13759999999995998</v>
      </c>
      <c r="Z90" s="4">
        <f t="shared" si="6"/>
        <v>-59.674418604668524</v>
      </c>
    </row>
    <row r="91" spans="1:26" x14ac:dyDescent="0.25">
      <c r="A91">
        <v>2.0688559999999998</v>
      </c>
      <c r="B91">
        <v>0.64163899999999996</v>
      </c>
      <c r="C91">
        <v>3.2826010000000001</v>
      </c>
      <c r="D91">
        <v>0.61696899999999999</v>
      </c>
      <c r="E91">
        <v>5.041385</v>
      </c>
      <c r="F91">
        <v>5.0025709999999997</v>
      </c>
      <c r="G91">
        <v>1.435012</v>
      </c>
      <c r="K91">
        <v>2.4826269999999999</v>
      </c>
      <c r="L91">
        <v>352.901276</v>
      </c>
      <c r="M91">
        <v>656.520264</v>
      </c>
      <c r="N91">
        <v>6.2313879999999999</v>
      </c>
      <c r="O91">
        <v>8.2769999999999996E-2</v>
      </c>
      <c r="P91">
        <v>1.0000000000000001E-5</v>
      </c>
      <c r="Q91">
        <v>1.9666939999999999</v>
      </c>
      <c r="Y91">
        <f t="shared" si="5"/>
        <v>0.25709999999996569</v>
      </c>
      <c r="Z91" s="4">
        <f t="shared" si="6"/>
        <v>32.193698949829262</v>
      </c>
    </row>
    <row r="92" spans="1:26" x14ac:dyDescent="0.25">
      <c r="A92">
        <v>2.0757639999999999</v>
      </c>
      <c r="B92">
        <v>0.64690199999999998</v>
      </c>
      <c r="C92">
        <v>3.3043110000000002</v>
      </c>
      <c r="D92">
        <v>0.61565300000000001</v>
      </c>
      <c r="E92">
        <v>5.0407270000000004</v>
      </c>
      <c r="F92">
        <v>5.0032290000000001</v>
      </c>
      <c r="G92">
        <v>1.430736</v>
      </c>
      <c r="K92">
        <v>2.4909159999999999</v>
      </c>
      <c r="L92">
        <v>355.79583700000001</v>
      </c>
      <c r="M92">
        <v>660.862122</v>
      </c>
      <c r="N92">
        <v>6.2180989999999996</v>
      </c>
      <c r="O92">
        <v>8.1453999999999999E-2</v>
      </c>
      <c r="P92">
        <v>1.2999999999999999E-5</v>
      </c>
      <c r="Q92">
        <v>1.9571909999999999</v>
      </c>
      <c r="Y92">
        <f t="shared" si="5"/>
        <v>0.32290000000001484</v>
      </c>
      <c r="Z92" s="4">
        <f t="shared" si="6"/>
        <v>25.225766491172578</v>
      </c>
    </row>
    <row r="93" spans="1:26" x14ac:dyDescent="0.25">
      <c r="A93">
        <v>2.0830000000000002</v>
      </c>
      <c r="B93">
        <v>0.65084900000000001</v>
      </c>
      <c r="C93">
        <v>3.3210860000000002</v>
      </c>
      <c r="D93">
        <v>0.61663999999999997</v>
      </c>
      <c r="E93">
        <v>5.0407270000000004</v>
      </c>
      <c r="F93">
        <v>5.0015850000000004</v>
      </c>
      <c r="G93">
        <v>1.426131</v>
      </c>
      <c r="K93">
        <v>2.4996</v>
      </c>
      <c r="L93">
        <v>357.96676600000001</v>
      </c>
      <c r="M93">
        <v>664.21716300000003</v>
      </c>
      <c r="N93">
        <v>6.2280660000000001</v>
      </c>
      <c r="O93">
        <v>8.1453999999999999E-2</v>
      </c>
      <c r="P93">
        <v>6.0000000000000002E-6</v>
      </c>
      <c r="Q93">
        <v>1.946958</v>
      </c>
      <c r="Y93">
        <f t="shared" si="5"/>
        <v>0.15850000000003917</v>
      </c>
      <c r="Z93" s="4">
        <f t="shared" si="6"/>
        <v>51.390536277589824</v>
      </c>
    </row>
    <row r="94" spans="1:26" x14ac:dyDescent="0.25">
      <c r="A94">
        <v>2.0830000000000002</v>
      </c>
      <c r="B94">
        <v>0.65380899999999997</v>
      </c>
      <c r="C94">
        <v>3.3450980000000001</v>
      </c>
      <c r="D94">
        <v>0.61598200000000003</v>
      </c>
      <c r="E94">
        <v>5.0403979999999997</v>
      </c>
      <c r="F94">
        <v>5.0032290000000001</v>
      </c>
      <c r="G94">
        <v>1.42021</v>
      </c>
      <c r="K94">
        <v>2.4996</v>
      </c>
      <c r="L94">
        <v>359.59497099999999</v>
      </c>
      <c r="M94">
        <v>669.01953100000003</v>
      </c>
      <c r="N94">
        <v>6.2214219999999996</v>
      </c>
      <c r="O94">
        <v>8.0796000000000007E-2</v>
      </c>
      <c r="P94">
        <v>1.2999999999999999E-5</v>
      </c>
      <c r="Q94">
        <v>1.9338010000000001</v>
      </c>
      <c r="Y94">
        <f t="shared" si="5"/>
        <v>0.32290000000001484</v>
      </c>
      <c r="Z94" s="4">
        <f t="shared" si="6"/>
        <v>25.021988231649516</v>
      </c>
    </row>
    <row r="95" spans="1:26" x14ac:dyDescent="0.25">
      <c r="A95">
        <v>2.0912229999999998</v>
      </c>
      <c r="B95">
        <v>0.65841400000000005</v>
      </c>
      <c r="C95">
        <v>3.3661490000000001</v>
      </c>
      <c r="D95">
        <v>0.61631100000000005</v>
      </c>
      <c r="E95">
        <v>5.0407270000000004</v>
      </c>
      <c r="F95">
        <v>5.0025709999999997</v>
      </c>
      <c r="G95">
        <v>1.415934</v>
      </c>
      <c r="K95">
        <v>2.509468</v>
      </c>
      <c r="L95">
        <v>362.12771600000002</v>
      </c>
      <c r="M95">
        <v>673.22985800000004</v>
      </c>
      <c r="N95">
        <v>6.2247440000000003</v>
      </c>
      <c r="O95">
        <v>8.1453999999999999E-2</v>
      </c>
      <c r="P95">
        <v>1.0000000000000001E-5</v>
      </c>
      <c r="Q95">
        <v>1.924299</v>
      </c>
      <c r="Y95">
        <f t="shared" si="5"/>
        <v>0.25709999999996569</v>
      </c>
      <c r="Z95" s="4">
        <f t="shared" si="6"/>
        <v>31.681835861536705</v>
      </c>
    </row>
    <row r="96" spans="1:26" x14ac:dyDescent="0.25">
      <c r="A96">
        <v>2.093197</v>
      </c>
      <c r="B96">
        <v>0.65841400000000005</v>
      </c>
      <c r="C96">
        <v>3.3875299999999999</v>
      </c>
      <c r="D96">
        <v>0.61729800000000001</v>
      </c>
      <c r="E96">
        <v>5.0377669999999997</v>
      </c>
      <c r="F96">
        <v>4.8196859999999999</v>
      </c>
      <c r="G96">
        <v>1.4106719999999999</v>
      </c>
      <c r="K96">
        <v>2.5118360000000002</v>
      </c>
      <c r="L96">
        <v>362.12771600000002</v>
      </c>
      <c r="M96">
        <v>677.50591999999995</v>
      </c>
      <c r="N96">
        <v>6.2347109999999999</v>
      </c>
      <c r="O96">
        <v>7.5534000000000004E-2</v>
      </c>
      <c r="P96">
        <v>-7.2099999999999996E-4</v>
      </c>
      <c r="Q96">
        <v>1.9126030000000001</v>
      </c>
      <c r="Y96">
        <f t="shared" si="5"/>
        <v>-18.031400000000009</v>
      </c>
      <c r="Z96" s="4">
        <f t="shared" si="6"/>
        <v>-0.41890258105305178</v>
      </c>
    </row>
    <row r="97" spans="1:26" x14ac:dyDescent="0.25">
      <c r="A97">
        <v>2.0978020000000002</v>
      </c>
      <c r="B97">
        <v>0.66203199999999995</v>
      </c>
      <c r="C97">
        <v>3.4092389999999999</v>
      </c>
      <c r="D97">
        <v>0.61663999999999997</v>
      </c>
      <c r="E97">
        <v>5.0361219999999998</v>
      </c>
      <c r="F97">
        <v>4.8124500000000001</v>
      </c>
      <c r="G97">
        <v>1.4057379999999999</v>
      </c>
      <c r="K97">
        <v>2.5173619999999999</v>
      </c>
      <c r="L97">
        <v>364.117706</v>
      </c>
      <c r="M97">
        <v>681.84777799999995</v>
      </c>
      <c r="N97">
        <v>6.2280660000000001</v>
      </c>
      <c r="O97">
        <v>7.2245000000000004E-2</v>
      </c>
      <c r="P97">
        <v>-7.5000000000000002E-4</v>
      </c>
      <c r="Q97">
        <v>1.9016390000000001</v>
      </c>
      <c r="Y97">
        <f t="shared" si="5"/>
        <v>-18.754999999999988</v>
      </c>
      <c r="Z97" s="4">
        <f t="shared" si="6"/>
        <v>-0.38520394561450305</v>
      </c>
    </row>
    <row r="98" spans="1:26" x14ac:dyDescent="0.25">
      <c r="A98">
        <v>2.1040519999999998</v>
      </c>
      <c r="B98">
        <v>0.66663700000000004</v>
      </c>
      <c r="C98">
        <v>3.4289749999999999</v>
      </c>
      <c r="D98">
        <v>0.61631100000000005</v>
      </c>
      <c r="E98">
        <v>5.0367800000000003</v>
      </c>
      <c r="F98">
        <v>4.9328380000000003</v>
      </c>
      <c r="G98">
        <v>1.4021189999999999</v>
      </c>
      <c r="K98">
        <v>2.5248620000000002</v>
      </c>
      <c r="L98">
        <v>366.65045199999997</v>
      </c>
      <c r="M98">
        <v>685.79492200000004</v>
      </c>
      <c r="N98">
        <v>6.2247440000000003</v>
      </c>
      <c r="O98">
        <v>7.356E-2</v>
      </c>
      <c r="P98">
        <v>-2.6899999999999998E-4</v>
      </c>
      <c r="Q98">
        <v>1.893599</v>
      </c>
      <c r="Y98">
        <f t="shared" si="5"/>
        <v>-6.7161999999999722</v>
      </c>
      <c r="Z98" s="4">
        <f t="shared" si="6"/>
        <v>-1.0952622018403309</v>
      </c>
    </row>
    <row r="99" spans="1:26" x14ac:dyDescent="0.25">
      <c r="A99">
        <v>2.11063</v>
      </c>
      <c r="B99">
        <v>0.66992600000000002</v>
      </c>
      <c r="C99">
        <v>3.449697</v>
      </c>
      <c r="D99">
        <v>0.61696899999999999</v>
      </c>
      <c r="E99">
        <v>5.035793</v>
      </c>
      <c r="F99">
        <v>4.9772439999999998</v>
      </c>
      <c r="G99">
        <v>1.39883</v>
      </c>
      <c r="K99">
        <v>2.532756</v>
      </c>
      <c r="L99">
        <v>368.459564</v>
      </c>
      <c r="M99">
        <v>689.939392</v>
      </c>
      <c r="N99">
        <v>6.2313879999999999</v>
      </c>
      <c r="O99">
        <v>7.1586999999999998E-2</v>
      </c>
      <c r="P99">
        <v>-9.1000000000000003E-5</v>
      </c>
      <c r="Q99">
        <v>1.8862890000000001</v>
      </c>
      <c r="Y99">
        <f t="shared" si="5"/>
        <v>-2.275600000000022</v>
      </c>
      <c r="Z99" s="4">
        <f t="shared" si="6"/>
        <v>-3.145851643522557</v>
      </c>
    </row>
    <row r="100" spans="1:26" x14ac:dyDescent="0.25">
      <c r="A100">
        <v>2.1145770000000002</v>
      </c>
      <c r="B100">
        <v>0.67190000000000005</v>
      </c>
      <c r="C100">
        <v>3.4733800000000001</v>
      </c>
      <c r="D100">
        <v>0.61663999999999997</v>
      </c>
      <c r="E100">
        <v>5.0364509999999996</v>
      </c>
      <c r="F100">
        <v>4.9946770000000003</v>
      </c>
      <c r="G100">
        <v>1.3945540000000001</v>
      </c>
      <c r="K100">
        <v>2.537493</v>
      </c>
      <c r="L100">
        <v>369.54501299999998</v>
      </c>
      <c r="M100">
        <v>694.67596400000002</v>
      </c>
      <c r="N100">
        <v>6.2280660000000001</v>
      </c>
      <c r="O100">
        <v>7.2901999999999995E-2</v>
      </c>
      <c r="P100">
        <v>-2.0999999999999999E-5</v>
      </c>
      <c r="Q100">
        <v>1.876787</v>
      </c>
      <c r="Y100">
        <f t="shared" si="5"/>
        <v>-0.53229999999997446</v>
      </c>
      <c r="Z100" s="4">
        <f t="shared" si="6"/>
        <v>-13.69566034191311</v>
      </c>
    </row>
    <row r="101" spans="1:26" x14ac:dyDescent="0.25">
      <c r="A101">
        <v>2.1073409999999999</v>
      </c>
      <c r="B101">
        <v>0.67354499999999995</v>
      </c>
      <c r="C101">
        <v>3.4944310000000001</v>
      </c>
      <c r="D101">
        <v>0.61762700000000004</v>
      </c>
      <c r="E101">
        <v>5.0341490000000002</v>
      </c>
      <c r="F101">
        <v>5.0009259999999998</v>
      </c>
      <c r="G101">
        <v>1.3902779999999999</v>
      </c>
      <c r="K101">
        <v>2.5288089999999999</v>
      </c>
      <c r="L101">
        <v>370.44955399999998</v>
      </c>
      <c r="M101">
        <v>698.88622999999995</v>
      </c>
      <c r="N101">
        <v>6.2380319999999996</v>
      </c>
      <c r="O101">
        <v>6.8296999999999997E-2</v>
      </c>
      <c r="P101">
        <v>3.9999999999999998E-6</v>
      </c>
      <c r="Q101">
        <v>1.8672839999999999</v>
      </c>
      <c r="Y101">
        <f t="shared" si="5"/>
        <v>9.2599999999976035E-2</v>
      </c>
      <c r="Z101" s="4">
        <f t="shared" si="6"/>
        <v>73.754859611250197</v>
      </c>
    </row>
    <row r="102" spans="1:26" x14ac:dyDescent="0.25">
      <c r="A102">
        <v>2.115564</v>
      </c>
      <c r="B102">
        <v>0.67716299999999996</v>
      </c>
      <c r="C102">
        <v>3.5154830000000001</v>
      </c>
      <c r="D102">
        <v>0.61762700000000004</v>
      </c>
      <c r="E102">
        <v>5.035793</v>
      </c>
      <c r="F102">
        <v>5.0042160000000004</v>
      </c>
      <c r="G102">
        <v>1.3856729999999999</v>
      </c>
      <c r="K102">
        <v>2.5386769999999999</v>
      </c>
      <c r="L102">
        <v>372.43957499999999</v>
      </c>
      <c r="M102">
        <v>703.09655799999996</v>
      </c>
      <c r="N102">
        <v>6.2380319999999996</v>
      </c>
      <c r="O102">
        <v>7.1586999999999998E-2</v>
      </c>
      <c r="P102">
        <v>1.7E-5</v>
      </c>
      <c r="Q102">
        <v>1.857051</v>
      </c>
      <c r="Y102">
        <f t="shared" si="5"/>
        <v>0.42160000000004416</v>
      </c>
      <c r="Z102" s="4">
        <f t="shared" si="6"/>
        <v>16.97983870967564</v>
      </c>
    </row>
    <row r="103" spans="1:26" x14ac:dyDescent="0.25">
      <c r="A103">
        <v>2.1198399999999999</v>
      </c>
      <c r="B103">
        <v>0.68012300000000003</v>
      </c>
      <c r="C103">
        <v>3.5368629999999999</v>
      </c>
      <c r="D103">
        <v>0.61631100000000005</v>
      </c>
      <c r="E103">
        <v>5.0367800000000003</v>
      </c>
      <c r="F103">
        <v>5.004874</v>
      </c>
      <c r="G103">
        <v>1.3823840000000001</v>
      </c>
      <c r="K103">
        <v>2.5438079999999998</v>
      </c>
      <c r="L103">
        <v>374.06778000000003</v>
      </c>
      <c r="M103">
        <v>707.37261999999998</v>
      </c>
      <c r="N103">
        <v>6.2247440000000003</v>
      </c>
      <c r="O103">
        <v>7.356E-2</v>
      </c>
      <c r="P103">
        <v>1.9000000000000001E-5</v>
      </c>
      <c r="Q103">
        <v>1.849742</v>
      </c>
      <c r="Y103">
        <f t="shared" si="5"/>
        <v>0.4874000000000045</v>
      </c>
      <c r="Z103" s="4">
        <f t="shared" si="6"/>
        <v>15.092326631103678</v>
      </c>
    </row>
    <row r="104" spans="1:26" x14ac:dyDescent="0.25">
      <c r="A104">
        <v>2.127405</v>
      </c>
      <c r="B104">
        <v>0.68341200000000002</v>
      </c>
      <c r="C104">
        <v>3.5595590000000001</v>
      </c>
      <c r="D104">
        <v>0.618614</v>
      </c>
      <c r="E104">
        <v>5.0364509999999996</v>
      </c>
      <c r="F104">
        <v>5.0052029999999998</v>
      </c>
      <c r="G104">
        <v>1.3781080000000001</v>
      </c>
      <c r="K104">
        <v>2.552886</v>
      </c>
      <c r="L104">
        <v>375.87686200000002</v>
      </c>
      <c r="M104">
        <v>711.91180399999996</v>
      </c>
      <c r="N104">
        <v>6.2479990000000001</v>
      </c>
      <c r="O104">
        <v>7.2901999999999995E-2</v>
      </c>
      <c r="P104">
        <v>2.0999999999999999E-5</v>
      </c>
      <c r="Q104">
        <v>1.840239</v>
      </c>
      <c r="Y104">
        <f t="shared" si="5"/>
        <v>0.52029999999998466</v>
      </c>
      <c r="Z104" s="4">
        <f t="shared" si="6"/>
        <v>14.011531808572389</v>
      </c>
    </row>
    <row r="105" spans="1:26" x14ac:dyDescent="0.25">
      <c r="A105">
        <v>2.1297079999999999</v>
      </c>
      <c r="B105">
        <v>0.68604399999999999</v>
      </c>
      <c r="C105">
        <v>3.580282</v>
      </c>
      <c r="D105">
        <v>0.61927200000000004</v>
      </c>
      <c r="E105">
        <v>5.0348059999999997</v>
      </c>
      <c r="F105">
        <v>5.0055319999999996</v>
      </c>
      <c r="G105">
        <v>1.37449</v>
      </c>
      <c r="K105">
        <v>2.5556489999999998</v>
      </c>
      <c r="L105">
        <v>377.32415800000001</v>
      </c>
      <c r="M105">
        <v>716.05633499999999</v>
      </c>
      <c r="N105">
        <v>6.2546429999999997</v>
      </c>
      <c r="O105">
        <v>6.9612999999999994E-2</v>
      </c>
      <c r="P105">
        <v>2.1999999999999999E-5</v>
      </c>
      <c r="Q105">
        <v>1.8321989999999999</v>
      </c>
      <c r="Y105">
        <f t="shared" si="5"/>
        <v>0.55319999999996483</v>
      </c>
      <c r="Z105" s="4">
        <f t="shared" si="6"/>
        <v>12.583694866233627</v>
      </c>
    </row>
    <row r="106" spans="1:26" x14ac:dyDescent="0.25">
      <c r="A106">
        <v>2.1316809999999999</v>
      </c>
      <c r="B106">
        <v>0.68637300000000001</v>
      </c>
      <c r="C106">
        <v>3.6006749999999998</v>
      </c>
      <c r="D106">
        <v>0.61992899999999995</v>
      </c>
      <c r="E106">
        <v>5.0344769999999999</v>
      </c>
      <c r="F106">
        <v>5.0058610000000003</v>
      </c>
      <c r="G106">
        <v>1.371858</v>
      </c>
      <c r="K106">
        <v>2.5580180000000001</v>
      </c>
      <c r="L106">
        <v>377.50503500000002</v>
      </c>
      <c r="M106">
        <v>720.13507100000004</v>
      </c>
      <c r="N106">
        <v>6.2612880000000004</v>
      </c>
      <c r="O106">
        <v>6.8954000000000001E-2</v>
      </c>
      <c r="P106">
        <v>2.3E-5</v>
      </c>
      <c r="Q106">
        <v>1.8263510000000001</v>
      </c>
      <c r="Y106">
        <f t="shared" si="5"/>
        <v>0.58610000000003382</v>
      </c>
      <c r="Z106" s="4">
        <f t="shared" si="6"/>
        <v>11.764886538132746</v>
      </c>
    </row>
    <row r="107" spans="1:26" x14ac:dyDescent="0.25">
      <c r="A107">
        <v>2.1316809999999999</v>
      </c>
      <c r="B107">
        <v>0.69032000000000004</v>
      </c>
      <c r="C107">
        <v>3.622385</v>
      </c>
      <c r="D107">
        <v>0.61894300000000002</v>
      </c>
      <c r="E107">
        <v>5.0351350000000004</v>
      </c>
      <c r="F107">
        <v>5.0052029999999998</v>
      </c>
      <c r="G107">
        <v>1.3702129999999999</v>
      </c>
      <c r="K107">
        <v>2.5580180000000001</v>
      </c>
      <c r="L107">
        <v>379.67596400000002</v>
      </c>
      <c r="M107">
        <v>724.47692900000004</v>
      </c>
      <c r="N107">
        <v>6.2513209999999999</v>
      </c>
      <c r="O107">
        <v>7.0271E-2</v>
      </c>
      <c r="P107">
        <v>2.0999999999999999E-5</v>
      </c>
      <c r="Q107">
        <v>1.8226960000000001</v>
      </c>
      <c r="Y107">
        <f t="shared" si="5"/>
        <v>0.52029999999998466</v>
      </c>
      <c r="Z107" s="4">
        <f t="shared" si="6"/>
        <v>13.505862002691154</v>
      </c>
    </row>
    <row r="108" spans="1:26" x14ac:dyDescent="0.25">
      <c r="A108">
        <v>2.1369440000000002</v>
      </c>
      <c r="B108">
        <v>0.69295099999999998</v>
      </c>
      <c r="C108">
        <v>3.6434359999999999</v>
      </c>
      <c r="D108">
        <v>0.61960099999999996</v>
      </c>
      <c r="E108">
        <v>5.0328330000000001</v>
      </c>
      <c r="F108">
        <v>4.8752760000000004</v>
      </c>
      <c r="G108">
        <v>1.366924</v>
      </c>
      <c r="K108">
        <v>2.564333</v>
      </c>
      <c r="L108">
        <v>381.12326000000002</v>
      </c>
      <c r="M108">
        <v>728.68719499999997</v>
      </c>
      <c r="N108">
        <v>6.2579659999999997</v>
      </c>
      <c r="O108">
        <v>6.5665000000000001E-2</v>
      </c>
      <c r="P108">
        <v>-4.9899999999999999E-4</v>
      </c>
      <c r="Q108">
        <v>1.8153870000000001</v>
      </c>
      <c r="Y108">
        <f t="shared" si="5"/>
        <v>-12.472399999999961</v>
      </c>
      <c r="Z108" s="4">
        <f t="shared" si="6"/>
        <v>-0.52648247330105036</v>
      </c>
    </row>
    <row r="109" spans="1:26" x14ac:dyDescent="0.25">
      <c r="A109">
        <v>2.1441810000000001</v>
      </c>
      <c r="B109">
        <v>0.69952999999999999</v>
      </c>
      <c r="C109">
        <v>3.6641590000000002</v>
      </c>
      <c r="D109">
        <v>0.61927200000000004</v>
      </c>
      <c r="E109">
        <v>5.0305299999999997</v>
      </c>
      <c r="F109">
        <v>4.8295539999999999</v>
      </c>
      <c r="G109">
        <v>1.364951</v>
      </c>
      <c r="K109">
        <v>2.5730170000000001</v>
      </c>
      <c r="L109">
        <v>384.74145499999997</v>
      </c>
      <c r="M109">
        <v>732.831726</v>
      </c>
      <c r="N109">
        <v>6.2546429999999997</v>
      </c>
      <c r="O109">
        <v>6.1060999999999997E-2</v>
      </c>
      <c r="P109">
        <v>-6.8199999999999999E-4</v>
      </c>
      <c r="Q109">
        <v>1.8110010000000001</v>
      </c>
      <c r="Y109">
        <f t="shared" si="5"/>
        <v>-17.04460000000001</v>
      </c>
      <c r="Z109" s="4">
        <f t="shared" si="6"/>
        <v>-0.35824249322366009</v>
      </c>
    </row>
    <row r="110" spans="1:26" x14ac:dyDescent="0.25">
      <c r="A110">
        <v>2.157667</v>
      </c>
      <c r="B110">
        <v>0.704793</v>
      </c>
      <c r="C110">
        <v>3.6829070000000002</v>
      </c>
      <c r="D110">
        <v>0.61992899999999995</v>
      </c>
      <c r="E110">
        <v>5.028886</v>
      </c>
      <c r="F110">
        <v>4.8762619999999997</v>
      </c>
      <c r="G110">
        <v>1.3636349999999999</v>
      </c>
      <c r="K110">
        <v>2.5891999999999999</v>
      </c>
      <c r="L110">
        <v>387.63604700000002</v>
      </c>
      <c r="M110">
        <v>736.58148200000005</v>
      </c>
      <c r="N110">
        <v>6.2612880000000004</v>
      </c>
      <c r="O110">
        <v>5.7771999999999997E-2</v>
      </c>
      <c r="P110">
        <v>-4.95E-4</v>
      </c>
      <c r="Q110">
        <v>1.8080769999999999</v>
      </c>
      <c r="Y110">
        <f t="shared" si="5"/>
        <v>-12.373800000000035</v>
      </c>
      <c r="Z110" s="4">
        <f t="shared" si="6"/>
        <v>-0.46688971859897394</v>
      </c>
    </row>
    <row r="111" spans="1:26" x14ac:dyDescent="0.25">
      <c r="A111">
        <v>2.1599689999999998</v>
      </c>
      <c r="B111">
        <v>0.70610899999999999</v>
      </c>
      <c r="C111">
        <v>3.7029719999999999</v>
      </c>
      <c r="D111">
        <v>0.61992899999999995</v>
      </c>
      <c r="E111">
        <v>5.0305299999999997</v>
      </c>
      <c r="F111">
        <v>4.9555340000000001</v>
      </c>
      <c r="G111">
        <v>1.3623190000000001</v>
      </c>
      <c r="K111">
        <v>2.5919629999999998</v>
      </c>
      <c r="L111">
        <v>388.35968000000003</v>
      </c>
      <c r="M111">
        <v>740.59442100000001</v>
      </c>
      <c r="N111">
        <v>6.2612880000000004</v>
      </c>
      <c r="O111">
        <v>6.1060999999999997E-2</v>
      </c>
      <c r="P111">
        <v>-1.7799999999999999E-4</v>
      </c>
      <c r="Q111">
        <v>1.8051539999999999</v>
      </c>
      <c r="Y111">
        <f t="shared" si="5"/>
        <v>-4.4465999999999894</v>
      </c>
      <c r="Z111" s="4">
        <f t="shared" si="6"/>
        <v>-1.3732064948500009</v>
      </c>
    </row>
    <row r="112" spans="1:26" x14ac:dyDescent="0.25">
      <c r="A112">
        <v>2.1537199999999999</v>
      </c>
      <c r="B112">
        <v>0.70545100000000005</v>
      </c>
      <c r="C112">
        <v>3.7292860000000001</v>
      </c>
      <c r="D112">
        <v>0.61828499999999997</v>
      </c>
      <c r="E112">
        <v>5.0302009999999999</v>
      </c>
      <c r="F112">
        <v>4.986783</v>
      </c>
      <c r="G112">
        <v>1.361661</v>
      </c>
      <c r="K112">
        <v>2.5844640000000001</v>
      </c>
      <c r="L112">
        <v>387.99786399999999</v>
      </c>
      <c r="M112">
        <v>745.85730000000001</v>
      </c>
      <c r="N112">
        <v>6.2446770000000003</v>
      </c>
      <c r="O112">
        <v>6.0402999999999998E-2</v>
      </c>
      <c r="P112">
        <v>-5.3000000000000001E-5</v>
      </c>
      <c r="Q112">
        <v>1.8036920000000001</v>
      </c>
      <c r="Y112">
        <f t="shared" si="5"/>
        <v>-1.3217000000000034</v>
      </c>
      <c r="Z112" s="4">
        <f t="shared" si="6"/>
        <v>-4.5700991147764123</v>
      </c>
    </row>
    <row r="113" spans="1:26" x14ac:dyDescent="0.25">
      <c r="A113">
        <v>2.1609560000000001</v>
      </c>
      <c r="B113">
        <v>0.71005600000000002</v>
      </c>
      <c r="C113">
        <v>3.7470490000000001</v>
      </c>
      <c r="D113">
        <v>0.61894300000000002</v>
      </c>
      <c r="E113">
        <v>5.0302009999999999</v>
      </c>
      <c r="F113">
        <v>4.9989530000000002</v>
      </c>
      <c r="G113">
        <v>1.361661</v>
      </c>
      <c r="K113">
        <v>2.5931470000000001</v>
      </c>
      <c r="L113">
        <v>390.53060900000003</v>
      </c>
      <c r="M113">
        <v>749.40972899999997</v>
      </c>
      <c r="N113">
        <v>6.2513209999999999</v>
      </c>
      <c r="O113">
        <v>6.0402999999999998E-2</v>
      </c>
      <c r="P113">
        <v>-3.9999999999999998E-6</v>
      </c>
      <c r="Q113">
        <v>1.8036920000000001</v>
      </c>
      <c r="Y113">
        <f t="shared" si="5"/>
        <v>-0.10469999999997981</v>
      </c>
      <c r="Z113" s="4">
        <f t="shared" si="6"/>
        <v>-57.691499522456205</v>
      </c>
    </row>
    <row r="114" spans="1:26" x14ac:dyDescent="0.25">
      <c r="A114">
        <v>2.1708240000000001</v>
      </c>
      <c r="B114">
        <v>0.71499000000000001</v>
      </c>
      <c r="C114">
        <v>3.767442</v>
      </c>
      <c r="D114">
        <v>0.61960099999999996</v>
      </c>
      <c r="E114">
        <v>5.0305299999999997</v>
      </c>
      <c r="F114">
        <v>5.0032290000000001</v>
      </c>
      <c r="G114">
        <v>1.361332</v>
      </c>
      <c r="K114">
        <v>2.6049890000000002</v>
      </c>
      <c r="L114">
        <v>393.24426299999999</v>
      </c>
      <c r="M114">
        <v>753.48846400000002</v>
      </c>
      <c r="N114">
        <v>6.2579659999999997</v>
      </c>
      <c r="O114">
        <v>6.1060999999999997E-2</v>
      </c>
      <c r="P114">
        <v>1.2999999999999999E-5</v>
      </c>
      <c r="Q114">
        <v>1.802961</v>
      </c>
      <c r="Y114">
        <f t="shared" si="5"/>
        <v>0.32290000000001484</v>
      </c>
      <c r="Z114" s="4">
        <f t="shared" si="6"/>
        <v>18.910188912975283</v>
      </c>
    </row>
    <row r="115" spans="1:26" x14ac:dyDescent="0.25">
      <c r="A115">
        <v>2.169508</v>
      </c>
      <c r="B115">
        <v>0.71499000000000001</v>
      </c>
      <c r="C115">
        <v>3.7911250000000001</v>
      </c>
      <c r="D115">
        <v>0.61960099999999996</v>
      </c>
      <c r="E115">
        <v>5.0311880000000002</v>
      </c>
      <c r="F115">
        <v>5.0045450000000002</v>
      </c>
      <c r="G115">
        <v>1.3626480000000001</v>
      </c>
      <c r="K115">
        <v>2.6034099999999998</v>
      </c>
      <c r="L115">
        <v>393.24426299999999</v>
      </c>
      <c r="M115">
        <v>758.22503700000004</v>
      </c>
      <c r="N115">
        <v>6.2579659999999997</v>
      </c>
      <c r="O115">
        <v>6.2376000000000001E-2</v>
      </c>
      <c r="P115">
        <v>1.8E-5</v>
      </c>
      <c r="Q115">
        <v>1.805885</v>
      </c>
      <c r="Y115">
        <f t="shared" si="5"/>
        <v>0.45450000000002433</v>
      </c>
      <c r="Z115" s="4">
        <f t="shared" si="6"/>
        <v>13.724092409240191</v>
      </c>
    </row>
    <row r="116" spans="1:26" x14ac:dyDescent="0.25">
      <c r="A116">
        <v>2.174442</v>
      </c>
      <c r="B116">
        <v>0.718279</v>
      </c>
      <c r="C116">
        <v>3.8115190000000001</v>
      </c>
      <c r="D116">
        <v>0.61960099999999996</v>
      </c>
      <c r="E116">
        <v>5.0305299999999997</v>
      </c>
      <c r="F116">
        <v>5.0055319999999996</v>
      </c>
      <c r="G116">
        <v>1.361661</v>
      </c>
      <c r="K116">
        <v>2.6093299999999999</v>
      </c>
      <c r="L116">
        <v>395.05334499999998</v>
      </c>
      <c r="M116">
        <v>762.30371100000002</v>
      </c>
      <c r="N116">
        <v>6.2579659999999997</v>
      </c>
      <c r="O116">
        <v>6.1060999999999997E-2</v>
      </c>
      <c r="P116">
        <v>2.1999999999999999E-5</v>
      </c>
      <c r="Q116">
        <v>1.8036920000000001</v>
      </c>
      <c r="Y116">
        <f t="shared" si="5"/>
        <v>0.55319999999996483</v>
      </c>
      <c r="Z116" s="4">
        <f t="shared" si="6"/>
        <v>11.037780187997809</v>
      </c>
    </row>
    <row r="117" spans="1:26" x14ac:dyDescent="0.25">
      <c r="A117">
        <v>2.1859549999999999</v>
      </c>
      <c r="B117">
        <v>0.72321299999999999</v>
      </c>
      <c r="C117">
        <v>3.831912</v>
      </c>
      <c r="D117">
        <v>0.61992899999999995</v>
      </c>
      <c r="E117">
        <v>5.0295430000000003</v>
      </c>
      <c r="F117">
        <v>5.0058610000000003</v>
      </c>
      <c r="G117">
        <v>1.3636349999999999</v>
      </c>
      <c r="K117">
        <v>2.6231460000000002</v>
      </c>
      <c r="L117">
        <v>397.766998</v>
      </c>
      <c r="M117">
        <v>766.38244599999996</v>
      </c>
      <c r="N117">
        <v>6.2612880000000004</v>
      </c>
      <c r="O117">
        <v>5.9087000000000001E-2</v>
      </c>
      <c r="P117">
        <v>2.3E-5</v>
      </c>
      <c r="Q117">
        <v>1.8080769999999999</v>
      </c>
      <c r="Y117">
        <f t="shared" si="5"/>
        <v>0.58610000000003382</v>
      </c>
      <c r="Z117" s="4">
        <f t="shared" si="6"/>
        <v>10.081385429107078</v>
      </c>
    </row>
    <row r="118" spans="1:26" x14ac:dyDescent="0.25">
      <c r="A118">
        <v>2.1829939999999999</v>
      </c>
      <c r="B118">
        <v>0.72452799999999995</v>
      </c>
      <c r="C118">
        <v>3.8513190000000002</v>
      </c>
      <c r="D118">
        <v>0.61992899999999995</v>
      </c>
      <c r="E118">
        <v>5.0305299999999997</v>
      </c>
      <c r="F118">
        <v>5.0058610000000003</v>
      </c>
      <c r="G118">
        <v>1.363964</v>
      </c>
      <c r="K118">
        <v>2.6195930000000001</v>
      </c>
      <c r="L118">
        <v>398.49063100000001</v>
      </c>
      <c r="M118">
        <v>770.26379399999996</v>
      </c>
      <c r="N118">
        <v>6.2612880000000004</v>
      </c>
      <c r="O118">
        <v>6.1060999999999997E-2</v>
      </c>
      <c r="P118">
        <v>2.3E-5</v>
      </c>
      <c r="Q118">
        <v>1.8088089999999999</v>
      </c>
      <c r="Y118">
        <f t="shared" si="5"/>
        <v>0.58610000000003382</v>
      </c>
      <c r="Z118" s="4">
        <f t="shared" si="6"/>
        <v>10.418188022521152</v>
      </c>
    </row>
    <row r="119" spans="1:26" x14ac:dyDescent="0.25">
      <c r="A119">
        <v>2.191217</v>
      </c>
      <c r="B119">
        <v>0.72814699999999999</v>
      </c>
      <c r="C119">
        <v>3.8743439999999998</v>
      </c>
      <c r="D119">
        <v>0.61992899999999995</v>
      </c>
      <c r="E119">
        <v>5.0298720000000001</v>
      </c>
      <c r="F119">
        <v>5.0058610000000003</v>
      </c>
      <c r="G119">
        <v>1.36528</v>
      </c>
      <c r="K119">
        <v>2.629461</v>
      </c>
      <c r="L119">
        <v>400.48065200000002</v>
      </c>
      <c r="M119">
        <v>774.86883499999999</v>
      </c>
      <c r="N119">
        <v>6.2612880000000004</v>
      </c>
      <c r="O119">
        <v>5.9744999999999999E-2</v>
      </c>
      <c r="P119">
        <v>2.3E-5</v>
      </c>
      <c r="Q119">
        <v>1.8117319999999999</v>
      </c>
      <c r="Y119">
        <f t="shared" si="5"/>
        <v>0.58610000000003382</v>
      </c>
      <c r="Z119" s="4">
        <f t="shared" si="6"/>
        <v>10.193652960245103</v>
      </c>
    </row>
    <row r="120" spans="1:26" x14ac:dyDescent="0.25">
      <c r="A120">
        <v>2.1964800000000002</v>
      </c>
      <c r="B120">
        <v>0.73209400000000002</v>
      </c>
      <c r="C120">
        <v>3.8947379999999998</v>
      </c>
      <c r="D120">
        <v>0.61894300000000002</v>
      </c>
      <c r="E120">
        <v>5.0311880000000002</v>
      </c>
      <c r="F120">
        <v>5.0058610000000003</v>
      </c>
      <c r="G120">
        <v>1.3672530000000001</v>
      </c>
      <c r="K120">
        <v>2.6357759999999999</v>
      </c>
      <c r="L120">
        <v>402.65154999999999</v>
      </c>
      <c r="M120">
        <v>778.94757100000004</v>
      </c>
      <c r="N120">
        <v>6.2513209999999999</v>
      </c>
      <c r="O120">
        <v>6.2376000000000001E-2</v>
      </c>
      <c r="P120">
        <v>2.3E-5</v>
      </c>
      <c r="Q120">
        <v>1.8161179999999999</v>
      </c>
      <c r="Y120">
        <f t="shared" si="5"/>
        <v>0.58610000000003382</v>
      </c>
      <c r="Z120" s="4">
        <f t="shared" si="6"/>
        <v>10.642552465448968</v>
      </c>
    </row>
    <row r="121" spans="1:26" x14ac:dyDescent="0.25">
      <c r="A121">
        <v>2.2030590000000001</v>
      </c>
      <c r="B121">
        <v>0.73406700000000003</v>
      </c>
      <c r="C121">
        <v>3.9157890000000002</v>
      </c>
      <c r="D121">
        <v>0.61992899999999995</v>
      </c>
      <c r="E121">
        <v>5.0318459999999998</v>
      </c>
      <c r="F121">
        <v>5.0052029999999998</v>
      </c>
      <c r="G121">
        <v>1.369556</v>
      </c>
      <c r="K121">
        <v>2.6436709999999999</v>
      </c>
      <c r="L121">
        <v>403.73703</v>
      </c>
      <c r="M121">
        <v>783.15783699999997</v>
      </c>
      <c r="N121">
        <v>6.2612880000000004</v>
      </c>
      <c r="O121">
        <v>6.3691999999999999E-2</v>
      </c>
      <c r="P121">
        <v>2.0999999999999999E-5</v>
      </c>
      <c r="Q121">
        <v>1.8212349999999999</v>
      </c>
      <c r="Y121">
        <f t="shared" si="5"/>
        <v>0.52029999999998466</v>
      </c>
      <c r="Z121" s="4">
        <f t="shared" si="6"/>
        <v>12.241399192773761</v>
      </c>
    </row>
    <row r="122" spans="1:26" x14ac:dyDescent="0.25">
      <c r="A122">
        <v>2.2162160000000002</v>
      </c>
      <c r="B122">
        <v>0.740317</v>
      </c>
      <c r="C122">
        <v>3.9351959999999999</v>
      </c>
      <c r="D122">
        <v>0.61894300000000002</v>
      </c>
      <c r="E122">
        <v>5.0318459999999998</v>
      </c>
      <c r="F122">
        <v>5.0055319999999996</v>
      </c>
      <c r="G122">
        <v>1.3725160000000001</v>
      </c>
      <c r="K122">
        <v>2.659459</v>
      </c>
      <c r="L122">
        <v>407.17434700000001</v>
      </c>
      <c r="M122">
        <v>787.03918499999997</v>
      </c>
      <c r="N122">
        <v>6.2513209999999999</v>
      </c>
      <c r="O122">
        <v>6.3691999999999999E-2</v>
      </c>
      <c r="P122">
        <v>2.1999999999999999E-5</v>
      </c>
      <c r="Q122">
        <v>1.8278129999999999</v>
      </c>
      <c r="Y122">
        <f t="shared" si="5"/>
        <v>0.55319999999996483</v>
      </c>
      <c r="Z122" s="4">
        <f t="shared" si="6"/>
        <v>11.513376717282005</v>
      </c>
    </row>
    <row r="123" spans="1:26" x14ac:dyDescent="0.25">
      <c r="A123">
        <v>2.2158869999999999</v>
      </c>
      <c r="B123">
        <v>0.740317</v>
      </c>
      <c r="C123">
        <v>3.9575629999999999</v>
      </c>
      <c r="D123">
        <v>0.61696899999999999</v>
      </c>
      <c r="E123">
        <v>5.0302009999999999</v>
      </c>
      <c r="F123">
        <v>5.0052029999999998</v>
      </c>
      <c r="G123">
        <v>1.37449</v>
      </c>
      <c r="K123">
        <v>2.659065</v>
      </c>
      <c r="L123">
        <v>407.17434700000001</v>
      </c>
      <c r="M123">
        <v>791.51257299999997</v>
      </c>
      <c r="N123">
        <v>6.2313879999999999</v>
      </c>
      <c r="O123">
        <v>6.0402999999999998E-2</v>
      </c>
      <c r="P123">
        <v>2.0999999999999999E-5</v>
      </c>
      <c r="Q123">
        <v>1.8321989999999999</v>
      </c>
      <c r="Y123">
        <f t="shared" si="5"/>
        <v>0.52029999999998466</v>
      </c>
      <c r="Z123" s="4">
        <f t="shared" si="6"/>
        <v>11.60926388621983</v>
      </c>
    </row>
    <row r="124" spans="1:26" x14ac:dyDescent="0.25">
      <c r="A124">
        <v>2.2132559999999999</v>
      </c>
      <c r="B124">
        <v>0.74229100000000003</v>
      </c>
      <c r="C124">
        <v>3.978615</v>
      </c>
      <c r="D124">
        <v>0.61663999999999997</v>
      </c>
      <c r="E124">
        <v>5.0308590000000004</v>
      </c>
      <c r="F124">
        <v>5.0052029999999998</v>
      </c>
      <c r="G124">
        <v>1.377121</v>
      </c>
      <c r="K124">
        <v>2.655907</v>
      </c>
      <c r="L124">
        <v>408.25979599999999</v>
      </c>
      <c r="M124">
        <v>795.72289999999998</v>
      </c>
      <c r="N124">
        <v>6.2280660000000001</v>
      </c>
      <c r="O124">
        <v>6.1718000000000002E-2</v>
      </c>
      <c r="P124">
        <v>2.0999999999999999E-5</v>
      </c>
      <c r="Q124">
        <v>1.838047</v>
      </c>
      <c r="Y124">
        <f t="shared" si="5"/>
        <v>0.52029999999998466</v>
      </c>
      <c r="Z124" s="4">
        <f t="shared" si="6"/>
        <v>11.862002690755684</v>
      </c>
    </row>
    <row r="125" spans="1:26" x14ac:dyDescent="0.25">
      <c r="A125">
        <v>2.217203</v>
      </c>
      <c r="B125">
        <v>0.74426400000000004</v>
      </c>
      <c r="C125">
        <v>3.9996659999999999</v>
      </c>
      <c r="D125">
        <v>0.61335099999999998</v>
      </c>
      <c r="E125">
        <v>5.0311880000000002</v>
      </c>
      <c r="F125">
        <v>5.004874</v>
      </c>
      <c r="G125">
        <v>1.3794230000000001</v>
      </c>
      <c r="K125">
        <v>2.6606429999999999</v>
      </c>
      <c r="L125">
        <v>409.34524499999998</v>
      </c>
      <c r="M125">
        <v>799.93316700000003</v>
      </c>
      <c r="N125">
        <v>6.1948439999999998</v>
      </c>
      <c r="O125">
        <v>6.2376000000000001E-2</v>
      </c>
      <c r="P125">
        <v>1.9000000000000001E-5</v>
      </c>
      <c r="Q125">
        <v>1.8431630000000001</v>
      </c>
      <c r="Y125">
        <f t="shared" si="5"/>
        <v>0.4874000000000045</v>
      </c>
      <c r="Z125" s="4">
        <f t="shared" si="6"/>
        <v>12.797702092736854</v>
      </c>
    </row>
    <row r="126" spans="1:26" x14ac:dyDescent="0.25">
      <c r="A126">
        <v>2.233978</v>
      </c>
      <c r="B126">
        <v>0.75117199999999995</v>
      </c>
      <c r="C126">
        <v>4.0187439999999999</v>
      </c>
      <c r="D126">
        <v>0.61433800000000005</v>
      </c>
      <c r="E126">
        <v>5.0305299999999997</v>
      </c>
      <c r="F126">
        <v>5.0042160000000004</v>
      </c>
      <c r="G126">
        <v>1.382055</v>
      </c>
      <c r="K126">
        <v>2.680774</v>
      </c>
      <c r="L126">
        <v>413.14437900000001</v>
      </c>
      <c r="M126">
        <v>803.74877900000001</v>
      </c>
      <c r="N126">
        <v>6.2048110000000003</v>
      </c>
      <c r="O126">
        <v>6.1060999999999997E-2</v>
      </c>
      <c r="P126">
        <v>1.7E-5</v>
      </c>
      <c r="Q126">
        <v>1.849011</v>
      </c>
      <c r="Y126">
        <f t="shared" si="5"/>
        <v>0.42160000000004416</v>
      </c>
      <c r="Z126" s="4">
        <f t="shared" si="6"/>
        <v>14.483159392787856</v>
      </c>
    </row>
    <row r="127" spans="1:26" x14ac:dyDescent="0.25">
      <c r="A127">
        <v>2.2418719999999999</v>
      </c>
      <c r="B127">
        <v>0.75577700000000003</v>
      </c>
      <c r="C127">
        <v>4.0407820000000001</v>
      </c>
      <c r="D127">
        <v>0.61170599999999997</v>
      </c>
      <c r="E127">
        <v>5.0298720000000001</v>
      </c>
      <c r="F127">
        <v>5.003558</v>
      </c>
      <c r="G127">
        <v>1.3843570000000001</v>
      </c>
      <c r="K127">
        <v>2.6902469999999998</v>
      </c>
      <c r="L127">
        <v>415.67712399999999</v>
      </c>
      <c r="M127">
        <v>808.15637200000003</v>
      </c>
      <c r="N127">
        <v>6.1782329999999996</v>
      </c>
      <c r="O127">
        <v>5.9744999999999999E-2</v>
      </c>
      <c r="P127">
        <v>1.4E-5</v>
      </c>
      <c r="Q127">
        <v>1.8541270000000001</v>
      </c>
      <c r="Y127">
        <f t="shared" si="5"/>
        <v>0.35579999999999501</v>
      </c>
      <c r="Z127" s="4">
        <f t="shared" si="6"/>
        <v>16.791736930860267</v>
      </c>
    </row>
    <row r="128" spans="1:26" x14ac:dyDescent="0.25">
      <c r="A128">
        <v>2.2398989999999999</v>
      </c>
      <c r="B128">
        <v>0.75511899999999998</v>
      </c>
      <c r="C128">
        <v>4.0608469999999999</v>
      </c>
      <c r="D128">
        <v>0.60973299999999997</v>
      </c>
      <c r="E128">
        <v>5.0308590000000004</v>
      </c>
      <c r="F128">
        <v>5.0032290000000001</v>
      </c>
      <c r="G128">
        <v>1.38666</v>
      </c>
      <c r="K128">
        <v>2.687878</v>
      </c>
      <c r="L128">
        <v>415.31530800000002</v>
      </c>
      <c r="M128">
        <v>812.16937299999995</v>
      </c>
      <c r="N128">
        <v>6.1582999999999997</v>
      </c>
      <c r="O128">
        <v>6.1718000000000002E-2</v>
      </c>
      <c r="P128">
        <v>1.2999999999999999E-5</v>
      </c>
      <c r="Q128">
        <v>1.8592439999999999</v>
      </c>
      <c r="Y128">
        <f t="shared" si="5"/>
        <v>0.32290000000001484</v>
      </c>
      <c r="Z128" s="4">
        <f t="shared" si="6"/>
        <v>19.113657479094819</v>
      </c>
    </row>
    <row r="129" spans="1:26" x14ac:dyDescent="0.25">
      <c r="A129">
        <v>2.2441749999999998</v>
      </c>
      <c r="B129">
        <v>0.75840799999999997</v>
      </c>
      <c r="C129">
        <v>4.0818979999999998</v>
      </c>
      <c r="D129">
        <v>0.60808799999999996</v>
      </c>
      <c r="E129">
        <v>5.0305299999999997</v>
      </c>
      <c r="F129">
        <v>5.0025709999999997</v>
      </c>
      <c r="G129">
        <v>1.3902779999999999</v>
      </c>
      <c r="K129">
        <v>2.6930100000000001</v>
      </c>
      <c r="L129">
        <v>417.12435900000003</v>
      </c>
      <c r="M129">
        <v>816.379639</v>
      </c>
      <c r="N129">
        <v>6.1416899999999996</v>
      </c>
      <c r="O129">
        <v>6.1060999999999997E-2</v>
      </c>
      <c r="P129">
        <v>1.0000000000000001E-5</v>
      </c>
      <c r="Q129">
        <v>1.8672839999999999</v>
      </c>
      <c r="Y129">
        <f t="shared" si="5"/>
        <v>0.25709999999996569</v>
      </c>
      <c r="Z129" s="4">
        <f t="shared" si="6"/>
        <v>23.749902761574539</v>
      </c>
    </row>
    <row r="130" spans="1:26" x14ac:dyDescent="0.25">
      <c r="A130">
        <v>2.256345</v>
      </c>
      <c r="B130">
        <v>0.76169699999999996</v>
      </c>
      <c r="C130">
        <v>4.1029499999999999</v>
      </c>
      <c r="D130">
        <v>0.60414100000000004</v>
      </c>
      <c r="E130">
        <v>5.0318459999999998</v>
      </c>
      <c r="F130">
        <v>5.0032290000000001</v>
      </c>
      <c r="G130">
        <v>1.393567</v>
      </c>
      <c r="K130">
        <v>2.707614</v>
      </c>
      <c r="L130">
        <v>418.93347199999999</v>
      </c>
      <c r="M130">
        <v>820.58990500000004</v>
      </c>
      <c r="N130">
        <v>6.1018230000000004</v>
      </c>
      <c r="O130">
        <v>6.3691999999999999E-2</v>
      </c>
      <c r="P130">
        <v>1.2999999999999999E-5</v>
      </c>
      <c r="Q130">
        <v>1.8745940000000001</v>
      </c>
      <c r="Y130">
        <f t="shared" si="5"/>
        <v>0.32290000000001484</v>
      </c>
      <c r="Z130" s="4">
        <f t="shared" si="6"/>
        <v>19.724992257664002</v>
      </c>
    </row>
    <row r="131" spans="1:26" x14ac:dyDescent="0.25">
      <c r="A131">
        <v>2.2596340000000001</v>
      </c>
      <c r="B131">
        <v>0.76597300000000001</v>
      </c>
      <c r="C131">
        <v>4.123672</v>
      </c>
      <c r="D131">
        <v>0.60150999999999999</v>
      </c>
      <c r="E131">
        <v>5.0295430000000003</v>
      </c>
      <c r="F131">
        <v>5.0038869999999998</v>
      </c>
      <c r="G131">
        <v>1.3994880000000001</v>
      </c>
      <c r="K131">
        <v>2.7115610000000001</v>
      </c>
      <c r="L131">
        <v>421.28533900000002</v>
      </c>
      <c r="M131">
        <v>824.734375</v>
      </c>
      <c r="N131">
        <v>6.0752459999999999</v>
      </c>
      <c r="O131">
        <v>5.9087000000000001E-2</v>
      </c>
      <c r="P131">
        <v>1.5999999999999999E-5</v>
      </c>
      <c r="Q131">
        <v>1.887751</v>
      </c>
      <c r="Y131">
        <f t="shared" si="5"/>
        <v>0.38869999999997518</v>
      </c>
      <c r="Z131" s="4">
        <f t="shared" si="6"/>
        <v>15.201183431953632</v>
      </c>
    </row>
    <row r="132" spans="1:26" x14ac:dyDescent="0.25">
      <c r="A132">
        <v>2.2675290000000001</v>
      </c>
      <c r="B132">
        <v>0.76794700000000005</v>
      </c>
      <c r="C132">
        <v>4.1457100000000002</v>
      </c>
      <c r="D132">
        <v>0.59887800000000002</v>
      </c>
      <c r="E132">
        <v>5.0295430000000003</v>
      </c>
      <c r="F132">
        <v>5.0052029999999998</v>
      </c>
      <c r="G132">
        <v>1.4027769999999999</v>
      </c>
      <c r="K132">
        <v>2.7210350000000001</v>
      </c>
      <c r="L132">
        <v>422.370789</v>
      </c>
      <c r="M132">
        <v>829.14209000000005</v>
      </c>
      <c r="N132">
        <v>6.0486690000000003</v>
      </c>
      <c r="O132">
        <v>5.9087000000000001E-2</v>
      </c>
      <c r="P132">
        <v>2.0999999999999999E-5</v>
      </c>
      <c r="Q132">
        <v>1.8950610000000001</v>
      </c>
      <c r="Y132">
        <f t="shared" si="5"/>
        <v>0.52029999999998466</v>
      </c>
      <c r="Z132" s="4">
        <f t="shared" si="6"/>
        <v>11.356332884874446</v>
      </c>
    </row>
    <row r="133" spans="1:26" x14ac:dyDescent="0.25">
      <c r="A133">
        <v>2.2701600000000002</v>
      </c>
      <c r="B133">
        <v>0.76827599999999996</v>
      </c>
      <c r="C133">
        <v>4.1654460000000002</v>
      </c>
      <c r="D133">
        <v>0.59262800000000004</v>
      </c>
      <c r="E133">
        <v>5.031517</v>
      </c>
      <c r="F133">
        <v>5.0058610000000003</v>
      </c>
      <c r="G133">
        <v>1.4070530000000001</v>
      </c>
      <c r="K133">
        <v>2.7241919999999999</v>
      </c>
      <c r="L133">
        <v>422.55169699999999</v>
      </c>
      <c r="M133">
        <v>833.08923300000004</v>
      </c>
      <c r="N133">
        <v>5.9855479999999996</v>
      </c>
      <c r="O133">
        <v>6.3034000000000007E-2</v>
      </c>
      <c r="P133">
        <v>2.3E-5</v>
      </c>
      <c r="Q133">
        <v>1.904563</v>
      </c>
      <c r="Y133">
        <f t="shared" si="5"/>
        <v>0.58610000000003382</v>
      </c>
      <c r="Z133" s="4">
        <f t="shared" si="6"/>
        <v>10.754819996586994</v>
      </c>
    </row>
    <row r="134" spans="1:26" x14ac:dyDescent="0.25">
      <c r="A134">
        <v>2.2767390000000001</v>
      </c>
      <c r="B134">
        <v>0.77222299999999999</v>
      </c>
      <c r="C134">
        <v>4.1871549999999997</v>
      </c>
      <c r="D134">
        <v>0.58966799999999997</v>
      </c>
      <c r="E134">
        <v>5.0305299999999997</v>
      </c>
      <c r="F134">
        <v>5.0058610000000003</v>
      </c>
      <c r="G134">
        <v>1.4119870000000001</v>
      </c>
      <c r="K134">
        <v>2.7320859999999998</v>
      </c>
      <c r="L134">
        <v>424.72262599999999</v>
      </c>
      <c r="M134">
        <v>837.43102999999996</v>
      </c>
      <c r="N134">
        <v>5.9556480000000001</v>
      </c>
      <c r="O134">
        <v>6.1060999999999997E-2</v>
      </c>
      <c r="P134">
        <v>2.3E-5</v>
      </c>
      <c r="Q134">
        <v>1.915527</v>
      </c>
      <c r="Y134">
        <f t="shared" si="5"/>
        <v>0.58610000000003382</v>
      </c>
      <c r="Z134" s="4">
        <f t="shared" si="6"/>
        <v>10.418188022521152</v>
      </c>
    </row>
    <row r="135" spans="1:26" x14ac:dyDescent="0.25">
      <c r="A135">
        <v>2.2941720000000001</v>
      </c>
      <c r="B135">
        <v>0.77748600000000001</v>
      </c>
      <c r="C135">
        <v>4.2072200000000004</v>
      </c>
      <c r="D135">
        <v>0.58276099999999997</v>
      </c>
      <c r="E135">
        <v>5.0295430000000003</v>
      </c>
      <c r="F135">
        <v>5.0068469999999996</v>
      </c>
      <c r="G135">
        <v>1.4152769999999999</v>
      </c>
      <c r="K135">
        <v>2.7530060000000001</v>
      </c>
      <c r="L135">
        <v>427.617187</v>
      </c>
      <c r="M135">
        <v>841.444031</v>
      </c>
      <c r="N135">
        <v>5.8858819999999996</v>
      </c>
      <c r="O135">
        <v>5.9087000000000001E-2</v>
      </c>
      <c r="P135">
        <v>2.6999999999999999E-5</v>
      </c>
      <c r="Q135">
        <v>1.9228369999999999</v>
      </c>
      <c r="Y135">
        <f t="shared" si="5"/>
        <v>0.68469999999996034</v>
      </c>
      <c r="Z135" s="4">
        <f t="shared" si="6"/>
        <v>8.6296188111586716</v>
      </c>
    </row>
    <row r="136" spans="1:26" x14ac:dyDescent="0.25">
      <c r="A136">
        <v>2.305355</v>
      </c>
      <c r="B136">
        <v>0.78176199999999996</v>
      </c>
      <c r="C136">
        <v>4.2253109999999996</v>
      </c>
      <c r="D136">
        <v>0.58045800000000003</v>
      </c>
      <c r="E136">
        <v>5.0295430000000003</v>
      </c>
      <c r="F136">
        <v>5.0525679999999999</v>
      </c>
      <c r="G136">
        <v>1.4195530000000001</v>
      </c>
      <c r="K136">
        <v>2.7664260000000001</v>
      </c>
      <c r="L136">
        <v>429.96899400000001</v>
      </c>
      <c r="M136">
        <v>845.06225600000005</v>
      </c>
      <c r="N136">
        <v>5.862628</v>
      </c>
      <c r="O136">
        <v>5.9087000000000001E-2</v>
      </c>
      <c r="P136">
        <v>2.1000000000000001E-4</v>
      </c>
      <c r="Q136">
        <v>1.932339</v>
      </c>
      <c r="Y136">
        <f t="shared" si="5"/>
        <v>5.2567999999999948</v>
      </c>
      <c r="Z136" s="4">
        <f t="shared" si="6"/>
        <v>1.1240108050525044</v>
      </c>
    </row>
    <row r="137" spans="1:26" x14ac:dyDescent="0.25">
      <c r="A137">
        <v>2.308316</v>
      </c>
      <c r="B137">
        <v>0.78570899999999999</v>
      </c>
      <c r="C137">
        <v>4.2483360000000001</v>
      </c>
      <c r="D137">
        <v>0.57322200000000001</v>
      </c>
      <c r="E137">
        <v>5.0321749999999996</v>
      </c>
      <c r="F137">
        <v>5.1446690000000004</v>
      </c>
      <c r="G137">
        <v>1.423171</v>
      </c>
      <c r="K137">
        <v>2.7699790000000002</v>
      </c>
      <c r="L137">
        <v>432.13992300000001</v>
      </c>
      <c r="M137">
        <v>849.667236</v>
      </c>
      <c r="N137">
        <v>5.7895399999999997</v>
      </c>
      <c r="O137">
        <v>6.4350000000000004E-2</v>
      </c>
      <c r="P137">
        <v>5.7899999999999998E-4</v>
      </c>
      <c r="Q137">
        <v>1.94038</v>
      </c>
      <c r="Y137">
        <f t="shared" si="5"/>
        <v>14.466900000000038</v>
      </c>
      <c r="Z137" s="4">
        <f t="shared" si="6"/>
        <v>0.44480849387221755</v>
      </c>
    </row>
    <row r="138" spans="1:26" x14ac:dyDescent="0.25">
      <c r="A138">
        <v>2.3142360000000002</v>
      </c>
      <c r="B138">
        <v>0.78603800000000001</v>
      </c>
      <c r="C138">
        <v>4.2720190000000002</v>
      </c>
      <c r="D138">
        <v>0.56697200000000003</v>
      </c>
      <c r="E138">
        <v>5.035793</v>
      </c>
      <c r="F138">
        <v>5.1818379999999999</v>
      </c>
      <c r="G138">
        <v>1.4277759999999999</v>
      </c>
      <c r="K138">
        <v>2.7770839999999999</v>
      </c>
      <c r="L138">
        <v>432.32086199999998</v>
      </c>
      <c r="M138">
        <v>854.40386999999998</v>
      </c>
      <c r="N138">
        <v>5.7264179999999998</v>
      </c>
      <c r="O138">
        <v>7.1586999999999998E-2</v>
      </c>
      <c r="P138">
        <v>7.27E-4</v>
      </c>
      <c r="Q138">
        <v>1.9506129999999999</v>
      </c>
      <c r="Y138">
        <f t="shared" si="5"/>
        <v>18.183799999999994</v>
      </c>
      <c r="Z138" s="4">
        <f t="shared" si="6"/>
        <v>0.39368558827087857</v>
      </c>
    </row>
    <row r="139" spans="1:26" x14ac:dyDescent="0.25">
      <c r="A139">
        <v>2.3231169999999999</v>
      </c>
      <c r="B139">
        <v>0.79031399999999996</v>
      </c>
      <c r="C139">
        <v>4.2901100000000003</v>
      </c>
      <c r="D139">
        <v>0.56105099999999997</v>
      </c>
      <c r="E139">
        <v>5.0348059999999997</v>
      </c>
      <c r="F139">
        <v>5.0844750000000003</v>
      </c>
      <c r="G139">
        <v>1.4313940000000001</v>
      </c>
      <c r="K139">
        <v>2.787741</v>
      </c>
      <c r="L139">
        <v>434.67266799999999</v>
      </c>
      <c r="M139">
        <v>858.02203399999996</v>
      </c>
      <c r="N139">
        <v>5.6666189999999999</v>
      </c>
      <c r="O139">
        <v>6.9612999999999994E-2</v>
      </c>
      <c r="P139">
        <v>3.3799999999999998E-4</v>
      </c>
      <c r="Q139">
        <v>1.958653</v>
      </c>
      <c r="Y139">
        <f t="shared" si="5"/>
        <v>8.44750000000003</v>
      </c>
      <c r="Z139" s="4">
        <f t="shared" si="6"/>
        <v>0.8240662918023054</v>
      </c>
    </row>
    <row r="140" spans="1:26" x14ac:dyDescent="0.25">
      <c r="A140">
        <v>2.3412090000000001</v>
      </c>
      <c r="B140">
        <v>0.79623500000000003</v>
      </c>
      <c r="C140">
        <v>4.3108329999999997</v>
      </c>
      <c r="D140">
        <v>0.55545999999999995</v>
      </c>
      <c r="E140">
        <v>5.035793</v>
      </c>
      <c r="F140">
        <v>5.0334909999999997</v>
      </c>
      <c r="G140">
        <v>1.43567</v>
      </c>
      <c r="K140">
        <v>2.80945</v>
      </c>
      <c r="L140">
        <v>437.92907700000001</v>
      </c>
      <c r="M140">
        <v>862.16662599999995</v>
      </c>
      <c r="N140">
        <v>5.6101429999999999</v>
      </c>
      <c r="O140">
        <v>7.1586999999999998E-2</v>
      </c>
      <c r="P140">
        <v>1.34E-4</v>
      </c>
      <c r="Q140">
        <v>1.968156</v>
      </c>
      <c r="Y140">
        <f t="shared" si="5"/>
        <v>3.3490999999999715</v>
      </c>
      <c r="Z140" s="4">
        <f t="shared" si="6"/>
        <v>2.1374996267654178</v>
      </c>
    </row>
    <row r="141" spans="1:26" x14ac:dyDescent="0.25">
      <c r="A141">
        <v>2.3484449999999999</v>
      </c>
      <c r="B141">
        <v>0.79722099999999996</v>
      </c>
      <c r="C141">
        <v>4.3325420000000001</v>
      </c>
      <c r="D141">
        <v>0.54625000000000001</v>
      </c>
      <c r="E141">
        <v>5.0361219999999998</v>
      </c>
      <c r="F141">
        <v>5.014742</v>
      </c>
      <c r="G141">
        <v>1.440933</v>
      </c>
      <c r="K141">
        <v>2.8181340000000001</v>
      </c>
      <c r="L141">
        <v>438.47177099999999</v>
      </c>
      <c r="M141">
        <v>866.50836200000003</v>
      </c>
      <c r="N141">
        <v>5.5171219999999996</v>
      </c>
      <c r="O141">
        <v>7.2245000000000004E-2</v>
      </c>
      <c r="P141">
        <v>5.8999999999999998E-5</v>
      </c>
      <c r="Q141">
        <v>1.979851</v>
      </c>
      <c r="Y141">
        <f t="shared" si="5"/>
        <v>1.4742000000000033</v>
      </c>
      <c r="Z141" s="4">
        <f t="shared" si="6"/>
        <v>4.9006240672907229</v>
      </c>
    </row>
    <row r="142" spans="1:26" x14ac:dyDescent="0.25">
      <c r="A142">
        <v>2.354695</v>
      </c>
      <c r="B142">
        <v>0.80018199999999995</v>
      </c>
      <c r="C142">
        <v>4.3526069999999999</v>
      </c>
      <c r="D142">
        <v>0.54</v>
      </c>
      <c r="E142">
        <v>5.0354640000000002</v>
      </c>
      <c r="F142">
        <v>5.0071760000000003</v>
      </c>
      <c r="G142">
        <v>1.4448799999999999</v>
      </c>
      <c r="K142">
        <v>2.825634</v>
      </c>
      <c r="L142">
        <v>440.10000600000001</v>
      </c>
      <c r="M142">
        <v>870.52136199999995</v>
      </c>
      <c r="N142">
        <v>5.4540009999999999</v>
      </c>
      <c r="O142">
        <v>7.0929000000000006E-2</v>
      </c>
      <c r="P142">
        <v>2.9E-5</v>
      </c>
      <c r="Q142">
        <v>1.9886219999999999</v>
      </c>
      <c r="Y142">
        <f t="shared" si="5"/>
        <v>0.71760000000002933</v>
      </c>
      <c r="Z142" s="4">
        <f t="shared" si="6"/>
        <v>9.8841973244143126</v>
      </c>
    </row>
    <row r="143" spans="1:26" x14ac:dyDescent="0.25">
      <c r="A143">
        <v>2.372128</v>
      </c>
      <c r="B143">
        <v>0.80610199999999999</v>
      </c>
      <c r="C143">
        <v>4.370698</v>
      </c>
      <c r="D143">
        <v>0.53276400000000002</v>
      </c>
      <c r="E143">
        <v>5.0334909999999997</v>
      </c>
      <c r="F143">
        <v>5.0045450000000002</v>
      </c>
      <c r="G143">
        <v>1.4494849999999999</v>
      </c>
      <c r="K143">
        <v>2.8465530000000001</v>
      </c>
      <c r="L143">
        <v>443.35635400000001</v>
      </c>
      <c r="M143">
        <v>874.13958700000001</v>
      </c>
      <c r="N143">
        <v>5.3809129999999996</v>
      </c>
      <c r="O143">
        <v>6.6980999999999999E-2</v>
      </c>
      <c r="P143">
        <v>1.8E-5</v>
      </c>
      <c r="Q143">
        <v>1.998856</v>
      </c>
      <c r="Y143">
        <f t="shared" si="5"/>
        <v>0.45450000000002433</v>
      </c>
      <c r="Z143" s="4">
        <f t="shared" si="6"/>
        <v>14.737293729372148</v>
      </c>
    </row>
    <row r="144" spans="1:26" x14ac:dyDescent="0.25">
      <c r="A144">
        <v>2.3806799999999999</v>
      </c>
      <c r="B144">
        <v>0.80676000000000003</v>
      </c>
      <c r="C144">
        <v>4.3937229999999996</v>
      </c>
      <c r="D144">
        <v>0.52519800000000005</v>
      </c>
      <c r="E144">
        <v>5.035793</v>
      </c>
      <c r="F144">
        <v>5.003558</v>
      </c>
      <c r="G144">
        <v>1.4537610000000001</v>
      </c>
      <c r="K144">
        <v>2.8568159999999998</v>
      </c>
      <c r="L144">
        <v>443.71816999999999</v>
      </c>
      <c r="M144">
        <v>878.74462900000003</v>
      </c>
      <c r="N144">
        <v>5.3045030000000004</v>
      </c>
      <c r="O144">
        <v>7.1586999999999998E-2</v>
      </c>
      <c r="P144">
        <v>1.4E-5</v>
      </c>
      <c r="Q144">
        <v>2.0501480000000001</v>
      </c>
      <c r="Y144">
        <f t="shared" si="5"/>
        <v>0.35579999999999501</v>
      </c>
      <c r="Z144" s="4">
        <f t="shared" si="6"/>
        <v>20.120011242271222</v>
      </c>
    </row>
    <row r="145" spans="1:26" x14ac:dyDescent="0.25">
      <c r="A145">
        <v>2.3898899999999998</v>
      </c>
      <c r="B145">
        <v>0.80906299999999998</v>
      </c>
      <c r="C145">
        <v>4.4157609999999998</v>
      </c>
      <c r="D145">
        <v>0.515988</v>
      </c>
      <c r="E145">
        <v>5.035793</v>
      </c>
      <c r="F145">
        <v>5.003558</v>
      </c>
      <c r="G145">
        <v>1.45705</v>
      </c>
      <c r="K145">
        <v>2.8678680000000001</v>
      </c>
      <c r="L145">
        <v>444.98455799999999</v>
      </c>
      <c r="M145">
        <v>883.15222200000005</v>
      </c>
      <c r="N145">
        <v>5.2114830000000003</v>
      </c>
      <c r="O145">
        <v>7.1586999999999998E-2</v>
      </c>
      <c r="P145">
        <v>1.4E-5</v>
      </c>
      <c r="Q145">
        <v>2.094004</v>
      </c>
      <c r="Y145">
        <f t="shared" si="5"/>
        <v>0.35579999999999501</v>
      </c>
      <c r="Z145" s="4">
        <f t="shared" si="6"/>
        <v>20.120011242271222</v>
      </c>
    </row>
    <row r="146" spans="1:26" x14ac:dyDescent="0.25">
      <c r="A146">
        <v>2.4046919999999998</v>
      </c>
      <c r="B146">
        <v>0.81498400000000004</v>
      </c>
      <c r="C146">
        <v>4.4354969999999998</v>
      </c>
      <c r="D146">
        <v>0.51072499999999998</v>
      </c>
      <c r="E146">
        <v>5.0361219999999998</v>
      </c>
      <c r="F146">
        <v>5.0038869999999998</v>
      </c>
      <c r="G146">
        <v>1.46034</v>
      </c>
      <c r="K146">
        <v>2.8856299999999999</v>
      </c>
      <c r="L146">
        <v>448.24093599999998</v>
      </c>
      <c r="M146">
        <v>887.09936500000003</v>
      </c>
      <c r="N146">
        <v>5.158328</v>
      </c>
      <c r="O146">
        <v>7.2245000000000004E-2</v>
      </c>
      <c r="P146">
        <v>1.5999999999999999E-5</v>
      </c>
      <c r="Q146">
        <v>2.1378620000000002</v>
      </c>
      <c r="Y146">
        <f t="shared" si="5"/>
        <v>0.38869999999997518</v>
      </c>
      <c r="Z146" s="4">
        <f t="shared" si="6"/>
        <v>18.586313352200829</v>
      </c>
    </row>
    <row r="147" spans="1:26" x14ac:dyDescent="0.25">
      <c r="A147">
        <v>2.4152170000000002</v>
      </c>
      <c r="B147">
        <v>0.81695700000000004</v>
      </c>
      <c r="C147">
        <v>4.4578639999999998</v>
      </c>
      <c r="D147">
        <v>0.507436</v>
      </c>
      <c r="E147">
        <v>5.0407270000000004</v>
      </c>
      <c r="F147">
        <v>5.3564999999999996</v>
      </c>
      <c r="G147">
        <v>1.4639580000000001</v>
      </c>
      <c r="K147">
        <v>2.8982610000000002</v>
      </c>
      <c r="L147">
        <v>449.32641599999999</v>
      </c>
      <c r="M147">
        <v>891.57287599999995</v>
      </c>
      <c r="N147">
        <v>5.1251059999999997</v>
      </c>
      <c r="O147">
        <v>8.1453999999999999E-2</v>
      </c>
      <c r="P147">
        <v>1.426E-3</v>
      </c>
      <c r="Q147">
        <v>2.186105</v>
      </c>
      <c r="Y147">
        <f t="shared" si="5"/>
        <v>35.649999999999963</v>
      </c>
      <c r="Z147" s="4">
        <f t="shared" si="6"/>
        <v>0.22848246844319797</v>
      </c>
    </row>
    <row r="148" spans="1:26" x14ac:dyDescent="0.25">
      <c r="A148">
        <v>2.4264009999999998</v>
      </c>
      <c r="B148">
        <v>0.82024600000000003</v>
      </c>
      <c r="C148">
        <v>4.4779289999999996</v>
      </c>
      <c r="D148">
        <v>0.50480499999999995</v>
      </c>
      <c r="E148">
        <v>5.0394119999999996</v>
      </c>
      <c r="F148">
        <v>5.1818379999999999</v>
      </c>
      <c r="G148">
        <v>1.467576</v>
      </c>
      <c r="K148">
        <v>2.9116810000000002</v>
      </c>
      <c r="L148">
        <v>451.13552900000002</v>
      </c>
      <c r="M148">
        <v>895.58575399999995</v>
      </c>
      <c r="N148">
        <v>5.0985279999999999</v>
      </c>
      <c r="O148">
        <v>7.8823000000000004E-2</v>
      </c>
      <c r="P148">
        <v>7.27E-4</v>
      </c>
      <c r="Q148">
        <v>2.2343470000000001</v>
      </c>
      <c r="Y148">
        <f t="shared" ref="Y148:Y205" si="7">(F148-5)*$X$12/5*1</f>
        <v>18.183799999999994</v>
      </c>
      <c r="Z148" s="4">
        <f t="shared" ref="Z148:Z205" si="8">O148/Y148*100</f>
        <v>0.43347925076166716</v>
      </c>
    </row>
    <row r="149" spans="1:26" x14ac:dyDescent="0.25">
      <c r="A149">
        <v>2.4362689999999998</v>
      </c>
      <c r="B149">
        <v>0.822878</v>
      </c>
      <c r="C149">
        <v>4.497007</v>
      </c>
      <c r="D149">
        <v>0.50151599999999996</v>
      </c>
      <c r="E149">
        <v>5.0440160000000001</v>
      </c>
      <c r="F149">
        <v>5.3018980000000004</v>
      </c>
      <c r="G149">
        <v>1.470207</v>
      </c>
      <c r="K149">
        <v>2.9235220000000002</v>
      </c>
      <c r="L149">
        <v>452.582764</v>
      </c>
      <c r="M149">
        <v>899.40136700000005</v>
      </c>
      <c r="N149">
        <v>5.0653069999999998</v>
      </c>
      <c r="O149">
        <v>8.8033E-2</v>
      </c>
      <c r="P149">
        <v>1.2080000000000001E-3</v>
      </c>
      <c r="Q149">
        <v>2.2694329999999998</v>
      </c>
      <c r="Y149">
        <f t="shared" si="7"/>
        <v>30.189800000000041</v>
      </c>
      <c r="Z149" s="4">
        <f t="shared" si="8"/>
        <v>0.29159848690617324</v>
      </c>
    </row>
    <row r="150" spans="1:26" x14ac:dyDescent="0.25">
      <c r="A150">
        <v>2.4573200000000002</v>
      </c>
      <c r="B150">
        <v>0.83175900000000003</v>
      </c>
      <c r="C150">
        <v>4.5157559999999997</v>
      </c>
      <c r="D150">
        <v>0.500529</v>
      </c>
      <c r="E150">
        <v>5.0545419999999996</v>
      </c>
      <c r="F150">
        <v>5.7541760000000002</v>
      </c>
      <c r="G150">
        <v>1.475141</v>
      </c>
      <c r="K150">
        <v>2.9487839999999998</v>
      </c>
      <c r="L150">
        <v>457.467377</v>
      </c>
      <c r="M150">
        <v>903.15112299999998</v>
      </c>
      <c r="N150">
        <v>5.0553400000000002</v>
      </c>
      <c r="O150">
        <v>0.109084</v>
      </c>
      <c r="P150">
        <v>3.0170000000000002E-3</v>
      </c>
      <c r="Q150">
        <v>2.3352189999999999</v>
      </c>
      <c r="Y150">
        <f t="shared" si="7"/>
        <v>75.417600000000022</v>
      </c>
      <c r="Z150" s="4">
        <f t="shared" si="8"/>
        <v>0.14463997793618463</v>
      </c>
    </row>
    <row r="151" spans="1:26" x14ac:dyDescent="0.25">
      <c r="A151">
        <v>2.4691619999999999</v>
      </c>
      <c r="B151">
        <v>0.83537700000000004</v>
      </c>
      <c r="C151">
        <v>4.5381229999999997</v>
      </c>
      <c r="D151">
        <v>0.50151599999999996</v>
      </c>
      <c r="E151">
        <v>5.0657259999999997</v>
      </c>
      <c r="F151">
        <v>5.9857430000000003</v>
      </c>
      <c r="G151">
        <v>1.477773</v>
      </c>
      <c r="K151">
        <v>2.9629940000000001</v>
      </c>
      <c r="L151">
        <v>459.45736699999998</v>
      </c>
      <c r="M151">
        <v>907.62451199999998</v>
      </c>
      <c r="N151">
        <v>5.0653069999999998</v>
      </c>
      <c r="O151">
        <v>0.13145200000000001</v>
      </c>
      <c r="P151">
        <v>3.9430000000000003E-3</v>
      </c>
      <c r="Q151">
        <v>2.370304</v>
      </c>
      <c r="Y151">
        <f t="shared" si="7"/>
        <v>98.574300000000022</v>
      </c>
      <c r="Z151" s="4">
        <f t="shared" si="8"/>
        <v>0.13335321681208995</v>
      </c>
    </row>
    <row r="152" spans="1:26" x14ac:dyDescent="0.25">
      <c r="A152">
        <v>2.465214</v>
      </c>
      <c r="B152">
        <v>0.83471899999999999</v>
      </c>
      <c r="C152">
        <v>4.561477</v>
      </c>
      <c r="D152">
        <v>0.50151599999999996</v>
      </c>
      <c r="E152">
        <v>5.0808559999999998</v>
      </c>
      <c r="F152">
        <v>6.3531579999999996</v>
      </c>
      <c r="G152">
        <v>1.4813909999999999</v>
      </c>
      <c r="K152">
        <v>2.9582570000000001</v>
      </c>
      <c r="L152">
        <v>459.095551</v>
      </c>
      <c r="M152">
        <v>912.29534899999999</v>
      </c>
      <c r="N152">
        <v>5.0653069999999998</v>
      </c>
      <c r="O152">
        <v>0.161713</v>
      </c>
      <c r="P152">
        <v>5.4130000000000003E-3</v>
      </c>
      <c r="Q152">
        <v>2.4185479999999999</v>
      </c>
      <c r="Y152">
        <f t="shared" si="7"/>
        <v>135.31579999999997</v>
      </c>
      <c r="Z152" s="4">
        <f t="shared" si="8"/>
        <v>0.11950784756842885</v>
      </c>
    </row>
    <row r="153" spans="1:26" x14ac:dyDescent="0.25">
      <c r="A153">
        <v>2.463241</v>
      </c>
      <c r="B153">
        <v>0.83669300000000002</v>
      </c>
      <c r="C153">
        <v>4.5805550000000004</v>
      </c>
      <c r="D153">
        <v>0.50348899999999996</v>
      </c>
      <c r="E153">
        <v>5.0999350000000003</v>
      </c>
      <c r="F153">
        <v>6.5827520000000002</v>
      </c>
      <c r="G153">
        <v>1.4836929999999999</v>
      </c>
      <c r="K153">
        <v>2.955889</v>
      </c>
      <c r="L153">
        <v>460.18099999999998</v>
      </c>
      <c r="M153">
        <v>916.11096199999997</v>
      </c>
      <c r="N153">
        <v>5.0852399999999998</v>
      </c>
      <c r="O153">
        <v>0.19986899999999999</v>
      </c>
      <c r="P153">
        <v>6.3309999999999998E-3</v>
      </c>
      <c r="Q153">
        <v>2.449246</v>
      </c>
      <c r="Y153">
        <f t="shared" si="7"/>
        <v>158.27520000000001</v>
      </c>
      <c r="Z153" s="4">
        <f t="shared" si="8"/>
        <v>0.12627941711651602</v>
      </c>
    </row>
    <row r="154" spans="1:26" x14ac:dyDescent="0.25">
      <c r="A154">
        <v>2.4691619999999999</v>
      </c>
      <c r="B154">
        <v>0.84228499999999995</v>
      </c>
      <c r="C154">
        <v>4.6019350000000001</v>
      </c>
      <c r="D154">
        <v>0.50710699999999997</v>
      </c>
      <c r="E154">
        <v>5.115723</v>
      </c>
      <c r="F154">
        <v>6.7287980000000003</v>
      </c>
      <c r="G154">
        <v>1.4869829999999999</v>
      </c>
      <c r="K154">
        <v>2.9629940000000001</v>
      </c>
      <c r="L154">
        <v>463.25646999999998</v>
      </c>
      <c r="M154">
        <v>920.38708499999996</v>
      </c>
      <c r="N154">
        <v>5.1217839999999999</v>
      </c>
      <c r="O154">
        <v>0.23144600000000001</v>
      </c>
      <c r="P154">
        <v>6.9150000000000001E-3</v>
      </c>
      <c r="Q154">
        <v>2.4931040000000002</v>
      </c>
      <c r="Y154">
        <f t="shared" si="7"/>
        <v>172.87980000000002</v>
      </c>
      <c r="Z154" s="4">
        <f t="shared" si="8"/>
        <v>0.13387683234247147</v>
      </c>
    </row>
    <row r="155" spans="1:26" x14ac:dyDescent="0.25">
      <c r="A155">
        <v>2.4816609999999999</v>
      </c>
      <c r="B155">
        <v>0.84754700000000005</v>
      </c>
      <c r="C155">
        <v>4.6223289999999997</v>
      </c>
      <c r="D155">
        <v>0.51006799999999997</v>
      </c>
      <c r="E155">
        <v>5.1351300000000002</v>
      </c>
      <c r="F155">
        <v>6.8810929999999999</v>
      </c>
      <c r="G155">
        <v>1.4912589999999999</v>
      </c>
      <c r="K155">
        <v>2.9779930000000001</v>
      </c>
      <c r="L155">
        <v>466.15103099999999</v>
      </c>
      <c r="M155">
        <v>924.46575900000005</v>
      </c>
      <c r="N155">
        <v>5.1516830000000002</v>
      </c>
      <c r="O155">
        <v>0.27026</v>
      </c>
      <c r="P155">
        <v>7.5240000000000003E-3</v>
      </c>
      <c r="Q155">
        <v>2.5501179999999999</v>
      </c>
      <c r="Y155">
        <f t="shared" si="7"/>
        <v>188.10929999999999</v>
      </c>
      <c r="Z155" s="4">
        <f t="shared" si="8"/>
        <v>0.14367179081523349</v>
      </c>
    </row>
    <row r="156" spans="1:26" x14ac:dyDescent="0.25">
      <c r="A156">
        <v>2.4869240000000001</v>
      </c>
      <c r="B156">
        <v>0.85149399999999997</v>
      </c>
      <c r="C156">
        <v>4.6417359999999999</v>
      </c>
      <c r="D156">
        <v>0.51467300000000005</v>
      </c>
      <c r="E156">
        <v>5.1571680000000004</v>
      </c>
      <c r="F156">
        <v>6.9669439999999998</v>
      </c>
      <c r="G156">
        <v>1.495206</v>
      </c>
      <c r="K156">
        <v>2.984308</v>
      </c>
      <c r="L156">
        <v>468.32195999999999</v>
      </c>
      <c r="M156">
        <v>928.34710700000005</v>
      </c>
      <c r="N156">
        <v>5.198194</v>
      </c>
      <c r="O156">
        <v>0.31433699999999998</v>
      </c>
      <c r="P156">
        <v>7.868E-3</v>
      </c>
      <c r="Q156">
        <v>2.6027469999999999</v>
      </c>
      <c r="Y156">
        <f t="shared" si="7"/>
        <v>196.69439999999997</v>
      </c>
      <c r="Z156" s="4">
        <f t="shared" si="8"/>
        <v>0.15980983698569967</v>
      </c>
    </row>
    <row r="157" spans="1:26" x14ac:dyDescent="0.25">
      <c r="A157">
        <v>2.4912000000000001</v>
      </c>
      <c r="B157">
        <v>0.85379700000000003</v>
      </c>
      <c r="C157">
        <v>4.662458</v>
      </c>
      <c r="D157">
        <v>0.51730399999999999</v>
      </c>
      <c r="E157">
        <v>5.1792059999999998</v>
      </c>
      <c r="F157">
        <v>7.2198929999999999</v>
      </c>
      <c r="G157">
        <v>1.499482</v>
      </c>
      <c r="K157">
        <v>2.9894400000000001</v>
      </c>
      <c r="L157">
        <v>469.58831800000002</v>
      </c>
      <c r="M157">
        <v>932.49157700000001</v>
      </c>
      <c r="N157">
        <v>5.2247709999999996</v>
      </c>
      <c r="O157">
        <v>0.35841299999999998</v>
      </c>
      <c r="P157">
        <v>8.8800000000000007E-3</v>
      </c>
      <c r="Q157">
        <v>2.6597599999999999</v>
      </c>
      <c r="Y157">
        <f t="shared" si="7"/>
        <v>221.98930000000001</v>
      </c>
      <c r="Z157" s="4">
        <f t="shared" si="8"/>
        <v>0.16145507914120183</v>
      </c>
    </row>
    <row r="158" spans="1:26" x14ac:dyDescent="0.25">
      <c r="A158">
        <v>2.489884</v>
      </c>
      <c r="B158">
        <v>0.85577099999999995</v>
      </c>
      <c r="C158">
        <v>4.6858120000000003</v>
      </c>
      <c r="D158">
        <v>0.51829099999999995</v>
      </c>
      <c r="E158">
        <v>5.2028889999999999</v>
      </c>
      <c r="F158">
        <v>7.3948840000000002</v>
      </c>
      <c r="G158">
        <v>1.5031000000000001</v>
      </c>
      <c r="K158">
        <v>2.9878610000000001</v>
      </c>
      <c r="L158">
        <v>470.67379799999998</v>
      </c>
      <c r="M158">
        <v>937.16241500000001</v>
      </c>
      <c r="N158">
        <v>5.234737</v>
      </c>
      <c r="O158">
        <v>0.405779</v>
      </c>
      <c r="P158">
        <v>9.58E-3</v>
      </c>
      <c r="Q158">
        <v>2.7080039999999999</v>
      </c>
      <c r="Y158">
        <f t="shared" si="7"/>
        <v>239.48840000000001</v>
      </c>
      <c r="Z158" s="4">
        <f t="shared" si="8"/>
        <v>0.16943576390338738</v>
      </c>
    </row>
    <row r="159" spans="1:26" x14ac:dyDescent="0.25">
      <c r="A159">
        <v>2.4961340000000001</v>
      </c>
      <c r="B159">
        <v>0.86004700000000001</v>
      </c>
      <c r="C159">
        <v>4.7062059999999999</v>
      </c>
      <c r="D159">
        <v>0.522567</v>
      </c>
      <c r="E159">
        <v>5.2275590000000003</v>
      </c>
      <c r="F159">
        <v>7.4021210000000002</v>
      </c>
      <c r="G159">
        <v>1.506389</v>
      </c>
      <c r="K159">
        <v>2.9953609999999999</v>
      </c>
      <c r="L159">
        <v>473.02563500000002</v>
      </c>
      <c r="M159">
        <v>941.24114999999995</v>
      </c>
      <c r="N159">
        <v>5.2779259999999999</v>
      </c>
      <c r="O159">
        <v>0.45511800000000002</v>
      </c>
      <c r="P159">
        <v>9.6080000000000002E-3</v>
      </c>
      <c r="Q159">
        <v>2.7518600000000002</v>
      </c>
      <c r="Y159">
        <f t="shared" si="7"/>
        <v>240.21210000000002</v>
      </c>
      <c r="Z159" s="4">
        <f t="shared" si="8"/>
        <v>0.18946506025300142</v>
      </c>
    </row>
    <row r="160" spans="1:26" x14ac:dyDescent="0.25">
      <c r="A160">
        <v>2.5050150000000002</v>
      </c>
      <c r="B160">
        <v>0.86761200000000005</v>
      </c>
      <c r="C160">
        <v>4.7252840000000003</v>
      </c>
      <c r="D160">
        <v>0.522567</v>
      </c>
      <c r="E160">
        <v>5.2525579999999996</v>
      </c>
      <c r="F160">
        <v>7.5873090000000003</v>
      </c>
      <c r="G160">
        <v>1.511323</v>
      </c>
      <c r="K160">
        <v>3.0060180000000001</v>
      </c>
      <c r="L160">
        <v>477.18658399999998</v>
      </c>
      <c r="M160">
        <v>945.05670199999997</v>
      </c>
      <c r="N160">
        <v>5.2779259999999999</v>
      </c>
      <c r="O160">
        <v>0.50511600000000001</v>
      </c>
      <c r="P160">
        <v>1.0349000000000001E-2</v>
      </c>
      <c r="Q160">
        <v>2.8176459999999999</v>
      </c>
      <c r="Y160">
        <f t="shared" si="7"/>
        <v>258.73090000000002</v>
      </c>
      <c r="Z160" s="4">
        <f t="shared" si="8"/>
        <v>0.19522832410044566</v>
      </c>
    </row>
    <row r="161" spans="1:26" x14ac:dyDescent="0.25">
      <c r="A161">
        <v>2.510278</v>
      </c>
      <c r="B161">
        <v>0.86892800000000003</v>
      </c>
      <c r="C161">
        <v>4.7463350000000002</v>
      </c>
      <c r="D161">
        <v>0.52421200000000001</v>
      </c>
      <c r="E161">
        <v>5.2824900000000001</v>
      </c>
      <c r="F161">
        <v>7.7399339999999999</v>
      </c>
      <c r="G161">
        <v>1.515271</v>
      </c>
      <c r="K161">
        <v>3.0123329999999999</v>
      </c>
      <c r="L161">
        <v>477.91021699999999</v>
      </c>
      <c r="M161">
        <v>949.26702899999998</v>
      </c>
      <c r="N161">
        <v>5.294537</v>
      </c>
      <c r="O161">
        <v>0.56498099999999996</v>
      </c>
      <c r="P161">
        <v>1.0959999999999999E-2</v>
      </c>
      <c r="Q161">
        <v>2.8702749999999999</v>
      </c>
      <c r="Y161">
        <f t="shared" si="7"/>
        <v>273.99339999999995</v>
      </c>
      <c r="Z161" s="4">
        <f t="shared" si="8"/>
        <v>0.20620241217489182</v>
      </c>
    </row>
    <row r="162" spans="1:26" x14ac:dyDescent="0.25">
      <c r="A162">
        <v>2.5106069999999998</v>
      </c>
      <c r="B162">
        <v>0.871888</v>
      </c>
      <c r="C162">
        <v>4.7670579999999996</v>
      </c>
      <c r="D162">
        <v>0.52815900000000005</v>
      </c>
      <c r="E162">
        <v>5.3111069999999998</v>
      </c>
      <c r="F162">
        <v>7.7991409999999997</v>
      </c>
      <c r="G162">
        <v>1.5205329999999999</v>
      </c>
      <c r="K162">
        <v>3.0127280000000001</v>
      </c>
      <c r="L162">
        <v>479.53839099999999</v>
      </c>
      <c r="M162">
        <v>953.41156000000001</v>
      </c>
      <c r="N162">
        <v>5.334403</v>
      </c>
      <c r="O162">
        <v>0.62221400000000004</v>
      </c>
      <c r="P162">
        <v>1.1197E-2</v>
      </c>
      <c r="Q162">
        <v>2.9404460000000001</v>
      </c>
      <c r="Y162">
        <f t="shared" si="7"/>
        <v>279.91409999999996</v>
      </c>
      <c r="Z162" s="4">
        <f t="shared" si="8"/>
        <v>0.22228748033771795</v>
      </c>
    </row>
    <row r="163" spans="1:26" x14ac:dyDescent="0.25">
      <c r="A163">
        <v>2.5250789999999999</v>
      </c>
      <c r="B163">
        <v>0.88044</v>
      </c>
      <c r="C163">
        <v>4.7867940000000004</v>
      </c>
      <c r="D163">
        <v>0.53243499999999999</v>
      </c>
      <c r="E163">
        <v>5.3400530000000002</v>
      </c>
      <c r="F163">
        <v>7.9652520000000004</v>
      </c>
      <c r="G163">
        <v>1.5257959999999999</v>
      </c>
      <c r="K163">
        <v>3.0300950000000002</v>
      </c>
      <c r="L163">
        <v>484.24206500000003</v>
      </c>
      <c r="M163">
        <v>957.35876499999995</v>
      </c>
      <c r="N163">
        <v>5.3775909999999998</v>
      </c>
      <c r="O163">
        <v>0.68010599999999999</v>
      </c>
      <c r="P163">
        <v>1.1861E-2</v>
      </c>
      <c r="Q163">
        <v>3.0106169999999999</v>
      </c>
      <c r="Y163">
        <f t="shared" si="7"/>
        <v>296.52520000000004</v>
      </c>
      <c r="Z163" s="4">
        <f t="shared" si="8"/>
        <v>0.22935858402591075</v>
      </c>
    </row>
    <row r="164" spans="1:26" x14ac:dyDescent="0.25">
      <c r="A164">
        <v>2.5283690000000001</v>
      </c>
      <c r="B164">
        <v>0.88339999999999996</v>
      </c>
      <c r="C164">
        <v>4.8052130000000002</v>
      </c>
      <c r="D164">
        <v>0.53111900000000001</v>
      </c>
      <c r="E164">
        <v>5.3719590000000004</v>
      </c>
      <c r="F164">
        <v>8.0517620000000001</v>
      </c>
      <c r="G164">
        <v>1.532375</v>
      </c>
      <c r="K164">
        <v>3.0340419999999999</v>
      </c>
      <c r="L164">
        <v>485.87027</v>
      </c>
      <c r="M164">
        <v>961.04266399999995</v>
      </c>
      <c r="N164">
        <v>5.3643020000000003</v>
      </c>
      <c r="O164">
        <v>0.74391799999999997</v>
      </c>
      <c r="P164">
        <v>1.2207000000000001E-2</v>
      </c>
      <c r="Q164">
        <v>3.0983309999999999</v>
      </c>
      <c r="Y164">
        <f t="shared" si="7"/>
        <v>305.17619999999999</v>
      </c>
      <c r="Z164" s="4">
        <f t="shared" si="8"/>
        <v>0.24376671575306333</v>
      </c>
    </row>
    <row r="165" spans="1:26" x14ac:dyDescent="0.25">
      <c r="A165">
        <v>2.5329739999999998</v>
      </c>
      <c r="B165">
        <v>0.88767700000000005</v>
      </c>
      <c r="C165">
        <v>4.8282379999999998</v>
      </c>
      <c r="D165">
        <v>0.53539499999999995</v>
      </c>
      <c r="E165">
        <v>5.4038659999999998</v>
      </c>
      <c r="F165">
        <v>8.2326750000000004</v>
      </c>
      <c r="G165">
        <v>1.537309</v>
      </c>
      <c r="K165">
        <v>3.039568</v>
      </c>
      <c r="L165">
        <v>488.22210699999999</v>
      </c>
      <c r="M165">
        <v>965.64770499999997</v>
      </c>
      <c r="N165">
        <v>5.4074900000000001</v>
      </c>
      <c r="O165">
        <v>0.80773200000000001</v>
      </c>
      <c r="P165">
        <v>1.2931E-2</v>
      </c>
      <c r="Q165">
        <v>3.1641159999999999</v>
      </c>
      <c r="Y165">
        <f t="shared" si="7"/>
        <v>323.26750000000004</v>
      </c>
      <c r="Z165" s="4">
        <f t="shared" si="8"/>
        <v>0.24986489517195509</v>
      </c>
    </row>
    <row r="166" spans="1:26" x14ac:dyDescent="0.25">
      <c r="A166">
        <v>2.5408680000000001</v>
      </c>
      <c r="B166">
        <v>0.89261000000000001</v>
      </c>
      <c r="C166">
        <v>4.8456720000000004</v>
      </c>
      <c r="D166">
        <v>0.53407899999999997</v>
      </c>
      <c r="E166">
        <v>5.4403769999999998</v>
      </c>
      <c r="F166">
        <v>8.4155619999999995</v>
      </c>
      <c r="G166">
        <v>1.543887</v>
      </c>
      <c r="K166">
        <v>3.049042</v>
      </c>
      <c r="L166">
        <v>490.93572999999998</v>
      </c>
      <c r="M166">
        <v>969.13433799999996</v>
      </c>
      <c r="N166">
        <v>5.3942019999999999</v>
      </c>
      <c r="O166">
        <v>0.88075400000000004</v>
      </c>
      <c r="P166">
        <v>1.3662000000000001E-2</v>
      </c>
      <c r="Q166">
        <v>3.25183</v>
      </c>
      <c r="Y166">
        <f t="shared" si="7"/>
        <v>341.55619999999993</v>
      </c>
      <c r="Z166" s="4">
        <f t="shared" si="8"/>
        <v>0.25786503070358557</v>
      </c>
    </row>
    <row r="167" spans="1:26" x14ac:dyDescent="0.25">
      <c r="A167">
        <v>2.548762</v>
      </c>
      <c r="B167">
        <v>0.89787300000000003</v>
      </c>
      <c r="C167">
        <v>4.8663949999999998</v>
      </c>
      <c r="D167">
        <v>0.53736899999999999</v>
      </c>
      <c r="E167">
        <v>5.4759010000000004</v>
      </c>
      <c r="F167">
        <v>8.5198339999999995</v>
      </c>
      <c r="G167">
        <v>1.5501370000000001</v>
      </c>
      <c r="K167">
        <v>3.0585149999999999</v>
      </c>
      <c r="L167">
        <v>493.83029199999999</v>
      </c>
      <c r="M167">
        <v>973.27893100000006</v>
      </c>
      <c r="N167">
        <v>5.4274230000000001</v>
      </c>
      <c r="O167">
        <v>0.95180200000000004</v>
      </c>
      <c r="P167">
        <v>1.4079E-2</v>
      </c>
      <c r="Q167">
        <v>3.335159</v>
      </c>
      <c r="Y167">
        <f t="shared" si="7"/>
        <v>351.98339999999996</v>
      </c>
      <c r="Z167" s="4">
        <f t="shared" si="8"/>
        <v>0.27041104779373121</v>
      </c>
    </row>
    <row r="168" spans="1:26" x14ac:dyDescent="0.25">
      <c r="A168">
        <v>2.559288</v>
      </c>
      <c r="B168">
        <v>0.90280700000000003</v>
      </c>
      <c r="C168">
        <v>4.8881040000000002</v>
      </c>
      <c r="D168">
        <v>0.53835500000000003</v>
      </c>
      <c r="E168">
        <v>5.5150439999999996</v>
      </c>
      <c r="F168">
        <v>8.7918620000000001</v>
      </c>
      <c r="G168">
        <v>1.5580309999999999</v>
      </c>
      <c r="K168">
        <v>3.0711460000000002</v>
      </c>
      <c r="L168">
        <v>496.54394500000001</v>
      </c>
      <c r="M168">
        <v>977.62078899999995</v>
      </c>
      <c r="N168">
        <v>5.4373899999999997</v>
      </c>
      <c r="O168">
        <v>1.030087</v>
      </c>
      <c r="P168">
        <v>1.5167E-2</v>
      </c>
      <c r="Q168">
        <v>3.4404159999999999</v>
      </c>
      <c r="Y168">
        <f t="shared" si="7"/>
        <v>379.18619999999999</v>
      </c>
      <c r="Z168" s="4">
        <f t="shared" si="8"/>
        <v>0.27165730187438258</v>
      </c>
    </row>
    <row r="169" spans="1:26" x14ac:dyDescent="0.25">
      <c r="A169">
        <v>2.5500780000000001</v>
      </c>
      <c r="B169">
        <v>0.90083400000000002</v>
      </c>
      <c r="C169">
        <v>4.9084969999999997</v>
      </c>
      <c r="D169">
        <v>0.54065799999999997</v>
      </c>
      <c r="E169">
        <v>5.5551729999999999</v>
      </c>
      <c r="F169">
        <v>8.9688269999999992</v>
      </c>
      <c r="G169">
        <v>1.5655969999999999</v>
      </c>
      <c r="K169">
        <v>3.0600930000000002</v>
      </c>
      <c r="L169">
        <v>495.45849600000003</v>
      </c>
      <c r="M169">
        <v>981.69946300000004</v>
      </c>
      <c r="N169">
        <v>5.4606450000000004</v>
      </c>
      <c r="O169">
        <v>1.110347</v>
      </c>
      <c r="P169">
        <v>1.5875E-2</v>
      </c>
      <c r="Q169">
        <v>3.5412880000000002</v>
      </c>
      <c r="Y169">
        <f t="shared" si="7"/>
        <v>396.88269999999994</v>
      </c>
      <c r="Z169" s="4">
        <f t="shared" si="8"/>
        <v>0.27976704451970319</v>
      </c>
    </row>
    <row r="170" spans="1:26" x14ac:dyDescent="0.25">
      <c r="A170">
        <v>2.553696</v>
      </c>
      <c r="B170">
        <v>0.90609600000000001</v>
      </c>
      <c r="C170">
        <v>4.9292199999999999</v>
      </c>
      <c r="D170">
        <v>0.54164500000000004</v>
      </c>
      <c r="E170">
        <v>5.5936579999999996</v>
      </c>
      <c r="F170">
        <v>9.1497410000000006</v>
      </c>
      <c r="G170">
        <v>1.575135</v>
      </c>
      <c r="K170">
        <v>3.064435</v>
      </c>
      <c r="L170">
        <v>498.35305799999998</v>
      </c>
      <c r="M170">
        <v>985.84405500000003</v>
      </c>
      <c r="N170">
        <v>5.470612</v>
      </c>
      <c r="O170">
        <v>1.187317</v>
      </c>
      <c r="P170">
        <v>1.6598999999999999E-2</v>
      </c>
      <c r="Q170">
        <v>3.6684730000000001</v>
      </c>
      <c r="Y170">
        <f t="shared" si="7"/>
        <v>414.97410000000008</v>
      </c>
      <c r="Z170" s="4">
        <f t="shared" si="8"/>
        <v>0.28611833846979839</v>
      </c>
    </row>
    <row r="171" spans="1:26" x14ac:dyDescent="0.25">
      <c r="A171">
        <v>2.565537</v>
      </c>
      <c r="B171">
        <v>0.91201699999999997</v>
      </c>
      <c r="C171">
        <v>4.9499430000000002</v>
      </c>
      <c r="D171">
        <v>0.54296</v>
      </c>
      <c r="E171">
        <v>5.6397089999999999</v>
      </c>
      <c r="F171">
        <v>9.3342729999999996</v>
      </c>
      <c r="G171">
        <v>1.5840160000000001</v>
      </c>
      <c r="K171">
        <v>3.0786449999999999</v>
      </c>
      <c r="L171">
        <v>501.60943600000002</v>
      </c>
      <c r="M171">
        <v>989.98852499999998</v>
      </c>
      <c r="N171">
        <v>5.4839000000000002</v>
      </c>
      <c r="O171">
        <v>1.279417</v>
      </c>
      <c r="P171">
        <v>1.7337000000000002E-2</v>
      </c>
      <c r="Q171">
        <v>3.786886</v>
      </c>
      <c r="Y171">
        <f t="shared" si="7"/>
        <v>433.42729999999995</v>
      </c>
      <c r="Z171" s="4">
        <f t="shared" si="8"/>
        <v>0.29518606695978777</v>
      </c>
    </row>
    <row r="172" spans="1:26" x14ac:dyDescent="0.25">
      <c r="A172">
        <v>2.5773790000000001</v>
      </c>
      <c r="B172">
        <v>0.91958200000000001</v>
      </c>
      <c r="C172">
        <v>4.9686909999999997</v>
      </c>
      <c r="D172">
        <v>0.54427599999999998</v>
      </c>
      <c r="E172">
        <v>5.6851010000000004</v>
      </c>
      <c r="F172">
        <v>9.4487419999999993</v>
      </c>
      <c r="G172">
        <v>1.5935550000000001</v>
      </c>
      <c r="K172">
        <v>3.0928550000000001</v>
      </c>
      <c r="L172">
        <v>505.770355</v>
      </c>
      <c r="M172">
        <v>993.73828100000003</v>
      </c>
      <c r="N172">
        <v>5.4971889999999997</v>
      </c>
      <c r="O172">
        <v>1.3702019999999999</v>
      </c>
      <c r="P172">
        <v>1.7794999999999998E-2</v>
      </c>
      <c r="Q172">
        <v>3.9140730000000001</v>
      </c>
      <c r="Y172">
        <f t="shared" si="7"/>
        <v>444.87419999999992</v>
      </c>
      <c r="Z172" s="4">
        <f t="shared" si="8"/>
        <v>0.30799763169003735</v>
      </c>
    </row>
    <row r="173" spans="1:26" x14ac:dyDescent="0.25">
      <c r="A173">
        <v>2.5714579999999998</v>
      </c>
      <c r="B173">
        <v>0.91925400000000002</v>
      </c>
      <c r="C173">
        <v>4.989414</v>
      </c>
      <c r="D173">
        <v>0.54361800000000005</v>
      </c>
      <c r="E173">
        <v>5.7341110000000004</v>
      </c>
      <c r="F173">
        <v>9.6882070000000002</v>
      </c>
      <c r="G173">
        <v>1.6044099999999999</v>
      </c>
      <c r="K173">
        <v>3.08575</v>
      </c>
      <c r="L173">
        <v>505.58947799999999</v>
      </c>
      <c r="M173">
        <v>997.88281199999994</v>
      </c>
      <c r="N173">
        <v>5.4905439999999999</v>
      </c>
      <c r="O173">
        <v>1.4682230000000001</v>
      </c>
      <c r="P173">
        <v>1.8752999999999999E-2</v>
      </c>
      <c r="Q173">
        <v>4.0441000000000003</v>
      </c>
      <c r="Y173">
        <f t="shared" si="7"/>
        <v>468.82070000000004</v>
      </c>
      <c r="Z173" s="4">
        <f t="shared" si="8"/>
        <v>0.31317367172567251</v>
      </c>
    </row>
    <row r="174" spans="1:26" x14ac:dyDescent="0.25">
      <c r="A174">
        <v>2.602706</v>
      </c>
      <c r="B174">
        <v>0.93372599999999994</v>
      </c>
      <c r="C174">
        <v>5.0055319999999996</v>
      </c>
      <c r="D174">
        <v>0.54296</v>
      </c>
      <c r="E174">
        <v>5.7827929999999999</v>
      </c>
      <c r="F174">
        <v>9.9931300000000007</v>
      </c>
      <c r="G174">
        <v>1.615265</v>
      </c>
      <c r="K174">
        <v>3.1232479999999998</v>
      </c>
      <c r="L174">
        <v>513.54949999999997</v>
      </c>
      <c r="M174">
        <v>1001.106384</v>
      </c>
      <c r="N174">
        <v>5.4839000000000002</v>
      </c>
      <c r="O174">
        <v>1.5655859999999999</v>
      </c>
      <c r="P174">
        <v>1.9973000000000001E-2</v>
      </c>
      <c r="Q174">
        <v>4.152647</v>
      </c>
      <c r="Y174">
        <f t="shared" si="7"/>
        <v>499.3130000000001</v>
      </c>
      <c r="Z174" s="4">
        <f t="shared" si="8"/>
        <v>0.31354801497257223</v>
      </c>
    </row>
    <row r="175" spans="1:26" x14ac:dyDescent="0.25">
      <c r="A175">
        <v>2.6036929999999998</v>
      </c>
      <c r="B175">
        <v>0.936029</v>
      </c>
      <c r="C175">
        <v>5.0295430000000003</v>
      </c>
      <c r="D175">
        <v>0.542632</v>
      </c>
      <c r="E175">
        <v>5.837396</v>
      </c>
      <c r="F175">
        <v>10.419750000000001</v>
      </c>
      <c r="G175" t="s">
        <v>5</v>
      </c>
      <c r="K175">
        <v>3.1244320000000001</v>
      </c>
      <c r="L175">
        <v>514.81591800000001</v>
      </c>
      <c r="M175">
        <v>1005.908691</v>
      </c>
      <c r="N175">
        <v>5.4805780000000004</v>
      </c>
      <c r="O175">
        <v>1.6747909999999999</v>
      </c>
      <c r="P175">
        <v>2.1679E-2</v>
      </c>
      <c r="Q175">
        <v>4.2743500000000001</v>
      </c>
      <c r="Y175">
        <f t="shared" si="7"/>
        <v>541.97500000000014</v>
      </c>
      <c r="Z175" s="4">
        <f t="shared" si="8"/>
        <v>0.30901628303888545</v>
      </c>
    </row>
    <row r="176" spans="1:26" x14ac:dyDescent="0.25">
      <c r="A176">
        <v>2.6004040000000002</v>
      </c>
      <c r="B176">
        <v>0.93866000000000005</v>
      </c>
      <c r="C176">
        <v>5.0535550000000002</v>
      </c>
      <c r="D176">
        <v>0.54690799999999995</v>
      </c>
      <c r="E176">
        <v>5.8972610000000003</v>
      </c>
      <c r="F176">
        <v>10.702310000000001</v>
      </c>
      <c r="G176" t="s">
        <v>6</v>
      </c>
      <c r="K176">
        <v>3.120485</v>
      </c>
      <c r="L176">
        <v>516.26318400000002</v>
      </c>
      <c r="M176">
        <v>1010.711121</v>
      </c>
      <c r="N176">
        <v>5.5237660000000002</v>
      </c>
      <c r="O176">
        <v>1.794521</v>
      </c>
      <c r="P176">
        <v>2.2808999999999999E-2</v>
      </c>
      <c r="Q176">
        <v>4.4059210000000002</v>
      </c>
      <c r="Y176">
        <f t="shared" si="7"/>
        <v>570.23099999999999</v>
      </c>
      <c r="Z176" s="4">
        <f t="shared" si="8"/>
        <v>0.31470070901090963</v>
      </c>
    </row>
    <row r="177" spans="1:26" x14ac:dyDescent="0.25">
      <c r="A177">
        <v>2.6102720000000001</v>
      </c>
      <c r="B177">
        <v>0.94260699999999997</v>
      </c>
      <c r="C177">
        <v>5.0713179999999998</v>
      </c>
      <c r="D177">
        <v>0.54592099999999999</v>
      </c>
      <c r="E177">
        <v>5.9561400000000004</v>
      </c>
      <c r="F177">
        <v>10.74606</v>
      </c>
      <c r="G177" t="s">
        <v>7</v>
      </c>
      <c r="K177">
        <v>3.1323259999999999</v>
      </c>
      <c r="L177">
        <v>518.43408199999999</v>
      </c>
      <c r="M177">
        <v>1014.26355</v>
      </c>
      <c r="N177">
        <v>5.5137999999999998</v>
      </c>
      <c r="O177">
        <v>1.9122790000000001</v>
      </c>
      <c r="P177">
        <v>2.2984000000000001E-2</v>
      </c>
      <c r="Q177">
        <v>4.5342019999999996</v>
      </c>
      <c r="Y177">
        <f t="shared" si="7"/>
        <v>574.60599999999999</v>
      </c>
      <c r="Z177" s="4">
        <f t="shared" si="8"/>
        <v>0.33279830005255773</v>
      </c>
    </row>
    <row r="178" spans="1:26" x14ac:dyDescent="0.25">
      <c r="A178">
        <v>2.6148769999999999</v>
      </c>
      <c r="B178">
        <v>0.94819900000000001</v>
      </c>
      <c r="C178">
        <v>5.0923689999999997</v>
      </c>
      <c r="D178">
        <v>0.55019700000000005</v>
      </c>
      <c r="E178">
        <v>6.0044919999999999</v>
      </c>
      <c r="F178">
        <v>10.410539999999999</v>
      </c>
      <c r="G178" t="s">
        <v>8</v>
      </c>
      <c r="K178">
        <v>3.1378520000000001</v>
      </c>
      <c r="L178">
        <v>521.50958300000002</v>
      </c>
      <c r="M178">
        <v>1018.4738160000001</v>
      </c>
      <c r="N178">
        <v>5.5569879999999996</v>
      </c>
      <c r="O178">
        <v>2.008985</v>
      </c>
      <c r="P178">
        <v>2.1642000000000002E-2</v>
      </c>
      <c r="Q178">
        <v>4.6756419999999999</v>
      </c>
      <c r="Y178">
        <f t="shared" si="7"/>
        <v>541.05399999999986</v>
      </c>
      <c r="Z178" s="4">
        <f t="shared" si="8"/>
        <v>0.37130951808876761</v>
      </c>
    </row>
    <row r="179" spans="1:26" x14ac:dyDescent="0.25">
      <c r="A179">
        <v>2.616193</v>
      </c>
      <c r="B179">
        <v>0.95313300000000001</v>
      </c>
      <c r="C179">
        <v>5.1134199999999996</v>
      </c>
      <c r="D179">
        <v>0.55282799999999999</v>
      </c>
      <c r="E179">
        <v>6.04495</v>
      </c>
      <c r="F179">
        <v>9.4882139999999993</v>
      </c>
      <c r="G179">
        <v>1.6810499999999999</v>
      </c>
      <c r="K179">
        <v>3.1394310000000001</v>
      </c>
      <c r="L179">
        <v>524.223206</v>
      </c>
      <c r="M179">
        <v>1022.684082</v>
      </c>
      <c r="N179">
        <v>5.5835650000000001</v>
      </c>
      <c r="O179">
        <v>2.0899009999999998</v>
      </c>
      <c r="P179">
        <v>1.7953E-2</v>
      </c>
      <c r="Q179">
        <v>4.8105019999999996</v>
      </c>
      <c r="Y179">
        <f t="shared" si="7"/>
        <v>448.82139999999993</v>
      </c>
      <c r="Z179" s="4">
        <f t="shared" si="8"/>
        <v>0.46564201261348054</v>
      </c>
    </row>
    <row r="180" spans="1:26" x14ac:dyDescent="0.25">
      <c r="A180">
        <v>2.6296780000000002</v>
      </c>
      <c r="B180">
        <v>0.95938299999999999</v>
      </c>
      <c r="C180">
        <v>5.1338140000000001</v>
      </c>
      <c r="D180">
        <v>0.55940699999999999</v>
      </c>
      <c r="E180">
        <v>6.0656730000000003</v>
      </c>
      <c r="F180">
        <v>8.0747870000000006</v>
      </c>
      <c r="G180">
        <v>1.6961809999999999</v>
      </c>
      <c r="K180">
        <v>3.1556139999999999</v>
      </c>
      <c r="L180">
        <v>527.66052200000001</v>
      </c>
      <c r="M180">
        <v>1026.762817</v>
      </c>
      <c r="N180">
        <v>5.6500089999999998</v>
      </c>
      <c r="O180">
        <v>2.1313469999999999</v>
      </c>
      <c r="P180">
        <v>1.2298999999999999E-2</v>
      </c>
      <c r="Q180">
        <v>4.9618080000000004</v>
      </c>
      <c r="Y180">
        <f t="shared" si="7"/>
        <v>307.47870000000006</v>
      </c>
      <c r="Z180" s="4">
        <f t="shared" si="8"/>
        <v>0.69316899024225076</v>
      </c>
    </row>
    <row r="181" spans="1:26" x14ac:dyDescent="0.25">
      <c r="A181">
        <v>2.6375730000000002</v>
      </c>
      <c r="B181">
        <v>0.96398799999999996</v>
      </c>
      <c r="C181">
        <v>5.1535500000000001</v>
      </c>
      <c r="D181">
        <v>0.56072299999999997</v>
      </c>
      <c r="E181">
        <v>6.0755410000000003</v>
      </c>
      <c r="F181">
        <v>6.698207</v>
      </c>
      <c r="G181">
        <v>1.7109829999999999</v>
      </c>
      <c r="K181">
        <v>3.1650870000000002</v>
      </c>
      <c r="L181">
        <v>530.19329800000003</v>
      </c>
      <c r="M181">
        <v>1030.7100829999999</v>
      </c>
      <c r="N181">
        <v>5.6632980000000002</v>
      </c>
      <c r="O181">
        <v>2.1510820000000002</v>
      </c>
      <c r="P181">
        <v>6.7930000000000004E-3</v>
      </c>
      <c r="Q181">
        <v>5.1098270000000001</v>
      </c>
      <c r="Y181">
        <f t="shared" si="7"/>
        <v>169.82070000000002</v>
      </c>
      <c r="Z181" s="4">
        <f t="shared" si="8"/>
        <v>1.2666783260226815</v>
      </c>
    </row>
    <row r="182" spans="1:26" x14ac:dyDescent="0.25">
      <c r="A182">
        <v>2.6451380000000002</v>
      </c>
      <c r="B182">
        <v>0.96892199999999995</v>
      </c>
      <c r="C182">
        <v>5.1749309999999999</v>
      </c>
      <c r="D182">
        <v>0.56434099999999998</v>
      </c>
      <c r="E182">
        <v>6.0814620000000001</v>
      </c>
      <c r="F182">
        <v>5.8860770000000002</v>
      </c>
      <c r="G182">
        <v>1.7274290000000001</v>
      </c>
      <c r="K182">
        <v>3.174166</v>
      </c>
      <c r="L182">
        <v>532.90692100000001</v>
      </c>
      <c r="M182">
        <v>1034.9860839999999</v>
      </c>
      <c r="N182">
        <v>5.6998410000000002</v>
      </c>
      <c r="O182">
        <v>2.1629239999999998</v>
      </c>
      <c r="P182">
        <v>3.5439999999999998E-3</v>
      </c>
      <c r="Q182">
        <v>5.2742899999999997</v>
      </c>
      <c r="Y182">
        <f t="shared" si="7"/>
        <v>88.607700000000023</v>
      </c>
      <c r="Z182" s="4">
        <f t="shared" si="8"/>
        <v>2.4410113342294171</v>
      </c>
    </row>
    <row r="183" spans="1:26" x14ac:dyDescent="0.25">
      <c r="A183">
        <v>2.6523750000000001</v>
      </c>
      <c r="B183">
        <v>0.97319800000000001</v>
      </c>
      <c r="C183">
        <v>5.1969690000000002</v>
      </c>
      <c r="D183">
        <v>0.56795899999999999</v>
      </c>
      <c r="E183">
        <v>6.0854090000000003</v>
      </c>
      <c r="F183">
        <v>5.5775410000000001</v>
      </c>
      <c r="G183">
        <v>1.7438750000000001</v>
      </c>
      <c r="K183">
        <v>3.182849</v>
      </c>
      <c r="L183">
        <v>535.25872800000002</v>
      </c>
      <c r="M183">
        <v>1039.393677</v>
      </c>
      <c r="N183">
        <v>5.7363850000000003</v>
      </c>
      <c r="O183">
        <v>2.1708180000000001</v>
      </c>
      <c r="P183">
        <v>2.31E-3</v>
      </c>
      <c r="Q183">
        <v>5.4387540000000003</v>
      </c>
      <c r="Y183">
        <f t="shared" si="7"/>
        <v>57.754100000000008</v>
      </c>
      <c r="Z183" s="4">
        <f t="shared" si="8"/>
        <v>3.7587253545635719</v>
      </c>
    </row>
    <row r="184" spans="1:26" x14ac:dyDescent="0.25">
      <c r="A184">
        <v>2.6550060000000002</v>
      </c>
      <c r="B184">
        <v>0.97944699999999996</v>
      </c>
      <c r="C184">
        <v>5.2176910000000003</v>
      </c>
      <c r="D184">
        <v>0.56730100000000006</v>
      </c>
      <c r="E184">
        <v>6.090014</v>
      </c>
      <c r="F184">
        <v>5.5601070000000004</v>
      </c>
      <c r="G184">
        <v>1.763611</v>
      </c>
      <c r="K184">
        <v>3.186007</v>
      </c>
      <c r="L184">
        <v>538.69604500000003</v>
      </c>
      <c r="M184">
        <v>1043.5383300000001</v>
      </c>
      <c r="N184">
        <v>5.7297409999999998</v>
      </c>
      <c r="O184">
        <v>2.1800280000000001</v>
      </c>
      <c r="P184">
        <v>2.2399999999999998E-3</v>
      </c>
      <c r="Q184">
        <v>5.6361109999999996</v>
      </c>
      <c r="Y184">
        <f t="shared" si="7"/>
        <v>56.010700000000028</v>
      </c>
      <c r="Z184" s="4">
        <f t="shared" si="8"/>
        <v>3.8921634616242948</v>
      </c>
    </row>
    <row r="185" spans="1:26" x14ac:dyDescent="0.25">
      <c r="A185">
        <v>2.6714530000000001</v>
      </c>
      <c r="B185">
        <v>0.98536800000000002</v>
      </c>
      <c r="C185">
        <v>5.2380849999999999</v>
      </c>
      <c r="D185">
        <v>0.56795899999999999</v>
      </c>
      <c r="E185">
        <v>6.0903429999999998</v>
      </c>
      <c r="F185">
        <v>5.219665</v>
      </c>
      <c r="G185">
        <v>1.783347</v>
      </c>
      <c r="K185">
        <v>3.205743</v>
      </c>
      <c r="L185">
        <v>541.95239300000003</v>
      </c>
      <c r="M185">
        <v>1047.616943</v>
      </c>
      <c r="N185">
        <v>5.7363850000000003</v>
      </c>
      <c r="O185">
        <v>2.1806860000000001</v>
      </c>
      <c r="P185">
        <v>8.7900000000000001E-4</v>
      </c>
      <c r="Q185">
        <v>5.8334669999999997</v>
      </c>
      <c r="Y185">
        <f t="shared" si="7"/>
        <v>21.9665</v>
      </c>
      <c r="Z185" s="4">
        <f t="shared" si="8"/>
        <v>9.9273257004984856</v>
      </c>
    </row>
    <row r="186" spans="1:26" x14ac:dyDescent="0.25">
      <c r="A186">
        <v>2.6724389999999998</v>
      </c>
      <c r="B186">
        <v>0.98799899999999996</v>
      </c>
      <c r="C186">
        <v>5.2581499999999997</v>
      </c>
      <c r="D186">
        <v>0.56861700000000004</v>
      </c>
      <c r="E186">
        <v>6.090014</v>
      </c>
      <c r="F186">
        <v>5.0894089999999998</v>
      </c>
      <c r="G186">
        <v>1.8043979999999999</v>
      </c>
      <c r="K186">
        <v>3.2069269999999999</v>
      </c>
      <c r="L186">
        <v>543.399719</v>
      </c>
      <c r="M186">
        <v>1051.6298830000001</v>
      </c>
      <c r="N186">
        <v>5.7430289999999999</v>
      </c>
      <c r="O186">
        <v>2.1800280000000001</v>
      </c>
      <c r="P186">
        <v>3.5799999999999997E-4</v>
      </c>
      <c r="Q186">
        <v>6.0586419999999999</v>
      </c>
      <c r="Y186">
        <f t="shared" si="7"/>
        <v>8.940899999999985</v>
      </c>
      <c r="Z186" s="4">
        <f t="shared" si="8"/>
        <v>24.382646042344771</v>
      </c>
    </row>
    <row r="187" spans="1:26" x14ac:dyDescent="0.25">
      <c r="A187">
        <v>2.6911879999999999</v>
      </c>
      <c r="B187">
        <v>0.99622299999999997</v>
      </c>
      <c r="C187">
        <v>5.2778850000000004</v>
      </c>
      <c r="D187">
        <v>0.56631399999999998</v>
      </c>
      <c r="E187">
        <v>6.0952770000000003</v>
      </c>
      <c r="F187">
        <v>5.3249230000000001</v>
      </c>
      <c r="G187">
        <v>1.826765</v>
      </c>
      <c r="K187">
        <v>3.2294260000000001</v>
      </c>
      <c r="L187">
        <v>547.92248500000005</v>
      </c>
      <c r="M187">
        <v>1055.5771480000001</v>
      </c>
      <c r="N187">
        <v>5.7197740000000001</v>
      </c>
      <c r="O187">
        <v>2.1905540000000001</v>
      </c>
      <c r="P187">
        <v>1.2999999999999999E-3</v>
      </c>
      <c r="Q187">
        <v>6.3568689999999997</v>
      </c>
      <c r="Y187">
        <f t="shared" si="7"/>
        <v>32.492300000000007</v>
      </c>
      <c r="Z187" s="4">
        <f t="shared" si="8"/>
        <v>6.7417634331826291</v>
      </c>
    </row>
    <row r="188" spans="1:26" x14ac:dyDescent="0.25">
      <c r="A188">
        <v>2.6872410000000002</v>
      </c>
      <c r="B188">
        <v>0.99589399999999995</v>
      </c>
      <c r="C188">
        <v>5.3025549999999999</v>
      </c>
      <c r="D188">
        <v>0.56762999999999997</v>
      </c>
      <c r="E188">
        <v>6.0959349999999999</v>
      </c>
      <c r="F188">
        <v>5.1989419999999997</v>
      </c>
      <c r="G188">
        <v>1.8507769999999999</v>
      </c>
      <c r="K188">
        <v>3.2246890000000001</v>
      </c>
      <c r="L188">
        <v>547.74151600000005</v>
      </c>
      <c r="M188">
        <v>1060.510986</v>
      </c>
      <c r="N188">
        <v>5.7330629999999996</v>
      </c>
      <c r="O188">
        <v>2.1918700000000002</v>
      </c>
      <c r="P188">
        <v>7.9600000000000005E-4</v>
      </c>
      <c r="Q188">
        <v>6.6770269999999998</v>
      </c>
      <c r="Y188">
        <f t="shared" si="7"/>
        <v>19.894199999999973</v>
      </c>
      <c r="Z188" s="4">
        <f t="shared" si="8"/>
        <v>11.017633280051488</v>
      </c>
    </row>
    <row r="189" spans="1:26" x14ac:dyDescent="0.25">
      <c r="A189">
        <v>2.6911879999999999</v>
      </c>
      <c r="B189">
        <v>0.99819599999999997</v>
      </c>
      <c r="C189">
        <v>5.3259090000000002</v>
      </c>
      <c r="D189">
        <v>0.569604</v>
      </c>
      <c r="E189">
        <v>6.0962639999999997</v>
      </c>
      <c r="F189">
        <v>5.0828300000000004</v>
      </c>
      <c r="G189">
        <v>1.875775</v>
      </c>
      <c r="K189">
        <v>3.2294260000000001</v>
      </c>
      <c r="L189">
        <v>549.00793499999997</v>
      </c>
      <c r="M189">
        <v>1065.181885</v>
      </c>
      <c r="N189">
        <v>5.7529960000000004</v>
      </c>
      <c r="O189">
        <v>2.1925279999999998</v>
      </c>
      <c r="P189">
        <v>3.3100000000000002E-4</v>
      </c>
      <c r="Q189">
        <v>7.0103390000000001</v>
      </c>
      <c r="Y189">
        <f t="shared" si="7"/>
        <v>8.2830000000000403</v>
      </c>
      <c r="Z189" s="4">
        <f t="shared" si="8"/>
        <v>26.470216105275735</v>
      </c>
    </row>
    <row r="190" spans="1:26" x14ac:dyDescent="0.25">
      <c r="A190">
        <v>2.7017139999999999</v>
      </c>
      <c r="B190">
        <v>1.001485</v>
      </c>
      <c r="C190">
        <v>5.345974</v>
      </c>
      <c r="D190">
        <v>0.56795899999999999</v>
      </c>
      <c r="E190">
        <v>6.0949479999999996</v>
      </c>
      <c r="F190">
        <v>5.035793</v>
      </c>
      <c r="G190">
        <v>1.8991290000000001</v>
      </c>
      <c r="K190">
        <v>3.242057</v>
      </c>
      <c r="L190">
        <v>550.81701699999996</v>
      </c>
      <c r="M190">
        <v>1069.1948239999999</v>
      </c>
      <c r="N190">
        <v>5.7363850000000003</v>
      </c>
      <c r="O190">
        <v>2.1898970000000002</v>
      </c>
      <c r="P190">
        <v>1.4300000000000001E-4</v>
      </c>
      <c r="Q190">
        <v>7.3217249999999998</v>
      </c>
      <c r="Y190">
        <f t="shared" si="7"/>
        <v>3.5792999999999964</v>
      </c>
      <c r="Z190" s="4">
        <f t="shared" si="8"/>
        <v>61.18227027631108</v>
      </c>
    </row>
    <row r="191" spans="1:26" x14ac:dyDescent="0.25">
      <c r="A191">
        <v>2.7184889999999999</v>
      </c>
      <c r="B191">
        <v>1.010367</v>
      </c>
      <c r="C191">
        <v>5.3643939999999999</v>
      </c>
      <c r="D191">
        <v>0.56762999999999997</v>
      </c>
      <c r="E191">
        <v>6.0956060000000001</v>
      </c>
      <c r="F191">
        <v>5.0200050000000003</v>
      </c>
      <c r="G191">
        <v>1.921497</v>
      </c>
      <c r="K191">
        <v>3.2621869999999999</v>
      </c>
      <c r="L191">
        <v>555.70159899999999</v>
      </c>
      <c r="M191">
        <v>1072.878784</v>
      </c>
      <c r="N191">
        <v>5.7330629999999996</v>
      </c>
      <c r="O191">
        <v>2.1912120000000002</v>
      </c>
      <c r="P191">
        <v>8.0000000000000007E-5</v>
      </c>
      <c r="Q191">
        <v>7.6199539999999999</v>
      </c>
      <c r="Y191">
        <f t="shared" si="7"/>
        <v>2.0005000000000273</v>
      </c>
      <c r="Z191" s="4">
        <f t="shared" si="8"/>
        <v>109.53321669582456</v>
      </c>
    </row>
    <row r="192" spans="1:26" x14ac:dyDescent="0.25">
      <c r="A192">
        <v>2.7306590000000002</v>
      </c>
      <c r="B192">
        <v>1.016616</v>
      </c>
      <c r="C192">
        <v>5.3844589999999997</v>
      </c>
      <c r="D192">
        <v>0.56730100000000006</v>
      </c>
      <c r="E192">
        <v>6.0988949999999997</v>
      </c>
      <c r="F192">
        <v>5.2989369999999996</v>
      </c>
      <c r="G192">
        <v>1.9464950000000001</v>
      </c>
      <c r="K192">
        <v>3.2767909999999998</v>
      </c>
      <c r="L192">
        <v>559.13885500000004</v>
      </c>
      <c r="M192">
        <v>1076.8917240000001</v>
      </c>
      <c r="N192">
        <v>5.7297409999999998</v>
      </c>
      <c r="O192">
        <v>2.1977899999999999</v>
      </c>
      <c r="P192">
        <v>1.196E-3</v>
      </c>
      <c r="Q192">
        <v>7.9532660000000002</v>
      </c>
      <c r="Y192">
        <f t="shared" si="7"/>
        <v>29.893699999999956</v>
      </c>
      <c r="Z192" s="4">
        <f t="shared" si="8"/>
        <v>7.3520173146850443</v>
      </c>
    </row>
    <row r="193" spans="1:26" x14ac:dyDescent="0.25">
      <c r="A193">
        <v>2.7372380000000001</v>
      </c>
      <c r="B193">
        <v>1.0192479999999999</v>
      </c>
      <c r="C193">
        <v>5.4081419999999998</v>
      </c>
      <c r="D193">
        <v>0.56828800000000002</v>
      </c>
      <c r="E193">
        <v>6.0988949999999997</v>
      </c>
      <c r="F193">
        <v>5.1861139999999999</v>
      </c>
      <c r="G193">
        <v>1.970507</v>
      </c>
      <c r="K193">
        <v>3.2846860000000002</v>
      </c>
      <c r="L193">
        <v>560.58612100000005</v>
      </c>
      <c r="M193">
        <v>1081.6282960000001</v>
      </c>
      <c r="N193">
        <v>5.7397070000000001</v>
      </c>
      <c r="O193">
        <v>2.1977899999999999</v>
      </c>
      <c r="P193">
        <v>7.4399999999999998E-4</v>
      </c>
      <c r="Q193">
        <v>8.2734240000000003</v>
      </c>
      <c r="Y193">
        <f t="shared" si="7"/>
        <v>18.611399999999989</v>
      </c>
      <c r="Z193" s="4">
        <f t="shared" si="8"/>
        <v>11.808837594162725</v>
      </c>
    </row>
    <row r="194" spans="1:26" x14ac:dyDescent="0.25">
      <c r="A194">
        <v>2.7375669999999999</v>
      </c>
      <c r="B194">
        <v>1.0199050000000001</v>
      </c>
      <c r="C194">
        <v>5.4305089999999998</v>
      </c>
      <c r="D194">
        <v>0.56434099999999998</v>
      </c>
      <c r="E194">
        <v>6.0985670000000001</v>
      </c>
      <c r="F194">
        <v>5.0775670000000002</v>
      </c>
      <c r="G194">
        <v>1.9938610000000001</v>
      </c>
      <c r="K194">
        <v>3.2850799999999998</v>
      </c>
      <c r="L194">
        <v>560.94799799999998</v>
      </c>
      <c r="M194">
        <v>1086.101807</v>
      </c>
      <c r="N194">
        <v>5.6998410000000002</v>
      </c>
      <c r="O194">
        <v>2.197133</v>
      </c>
      <c r="P194">
        <v>3.1E-4</v>
      </c>
      <c r="Q194">
        <v>8.5848080000000007</v>
      </c>
      <c r="Y194">
        <f t="shared" si="7"/>
        <v>7.7567000000000164</v>
      </c>
      <c r="Z194" s="4">
        <f t="shared" si="8"/>
        <v>28.325615274536791</v>
      </c>
    </row>
    <row r="195" spans="1:26" x14ac:dyDescent="0.25">
      <c r="A195">
        <v>2.7352650000000001</v>
      </c>
      <c r="B195">
        <v>1.0192479999999999</v>
      </c>
      <c r="C195">
        <v>5.4515599999999997</v>
      </c>
      <c r="D195">
        <v>0.56565600000000005</v>
      </c>
      <c r="E195">
        <v>6.0995530000000002</v>
      </c>
      <c r="F195">
        <v>5.0334909999999997</v>
      </c>
      <c r="G195">
        <v>2.016886</v>
      </c>
      <c r="K195">
        <v>3.2823169999999999</v>
      </c>
      <c r="L195">
        <v>560.58612100000005</v>
      </c>
      <c r="M195">
        <v>1090.312134</v>
      </c>
      <c r="N195">
        <v>5.7131299999999996</v>
      </c>
      <c r="O195">
        <v>2.199106</v>
      </c>
      <c r="P195">
        <v>1.34E-4</v>
      </c>
      <c r="Q195">
        <v>8.891807</v>
      </c>
      <c r="Y195">
        <f t="shared" si="7"/>
        <v>3.3490999999999715</v>
      </c>
      <c r="Z195" s="4">
        <f t="shared" si="8"/>
        <v>65.662595921292848</v>
      </c>
    </row>
    <row r="196" spans="1:26" x14ac:dyDescent="0.25">
      <c r="A196">
        <v>2.743817</v>
      </c>
      <c r="B196">
        <v>1.02451</v>
      </c>
      <c r="C196">
        <v>5.4709669999999999</v>
      </c>
      <c r="D196">
        <v>0.56434099999999998</v>
      </c>
      <c r="E196">
        <v>6.1051450000000003</v>
      </c>
      <c r="F196">
        <v>5.4002480000000004</v>
      </c>
      <c r="G196">
        <v>2.039253</v>
      </c>
      <c r="K196">
        <v>3.2925800000000001</v>
      </c>
      <c r="L196">
        <v>563.48071300000004</v>
      </c>
      <c r="M196">
        <v>1094.193481</v>
      </c>
      <c r="N196">
        <v>5.6998410000000002</v>
      </c>
      <c r="O196">
        <v>2.2102900000000001</v>
      </c>
      <c r="P196">
        <v>1.601E-3</v>
      </c>
      <c r="Q196">
        <v>9.1900370000000002</v>
      </c>
      <c r="Y196">
        <f t="shared" si="7"/>
        <v>40.024800000000042</v>
      </c>
      <c r="Z196" s="4">
        <f t="shared" si="8"/>
        <v>5.5223011732725658</v>
      </c>
    </row>
    <row r="197" spans="1:26" x14ac:dyDescent="0.25">
      <c r="A197">
        <v>2.766842</v>
      </c>
      <c r="B197">
        <v>1.032405</v>
      </c>
      <c r="C197">
        <v>5.4903740000000001</v>
      </c>
      <c r="D197">
        <v>0.56499900000000003</v>
      </c>
      <c r="E197">
        <v>6.1051450000000003</v>
      </c>
      <c r="F197">
        <v>5.164733</v>
      </c>
      <c r="G197">
        <v>2.060962</v>
      </c>
      <c r="K197">
        <v>3.3202099999999999</v>
      </c>
      <c r="L197">
        <v>567.82257100000004</v>
      </c>
      <c r="M197">
        <v>1098.0748289999999</v>
      </c>
      <c r="N197">
        <v>5.7064859999999999</v>
      </c>
      <c r="O197">
        <v>2.2102900000000001</v>
      </c>
      <c r="P197">
        <v>6.5899999999999997E-4</v>
      </c>
      <c r="Q197">
        <v>9.4794929999999997</v>
      </c>
      <c r="Y197">
        <f t="shared" si="7"/>
        <v>16.473300000000002</v>
      </c>
      <c r="Z197" s="4">
        <f t="shared" si="8"/>
        <v>13.417408776626418</v>
      </c>
    </row>
    <row r="198" spans="1:26" x14ac:dyDescent="0.25">
      <c r="A198">
        <v>2.771118</v>
      </c>
      <c r="B198">
        <v>1.0363519999999999</v>
      </c>
      <c r="C198">
        <v>5.5140570000000002</v>
      </c>
      <c r="D198">
        <v>0.56434099999999998</v>
      </c>
      <c r="E198">
        <v>6.1058029999999999</v>
      </c>
      <c r="F198">
        <v>5.0670409999999997</v>
      </c>
      <c r="G198">
        <v>2.0826709999999999</v>
      </c>
      <c r="K198">
        <v>3.3253409999999999</v>
      </c>
      <c r="L198">
        <v>569.993469</v>
      </c>
      <c r="M198">
        <v>1102.8114009999999</v>
      </c>
      <c r="N198">
        <v>5.6998410000000002</v>
      </c>
      <c r="O198">
        <v>2.211605</v>
      </c>
      <c r="P198">
        <v>2.6800000000000001E-4</v>
      </c>
      <c r="Q198">
        <v>9.7689489999999992</v>
      </c>
      <c r="Y198">
        <f t="shared" si="7"/>
        <v>6.7040999999999684</v>
      </c>
      <c r="Z198" s="4">
        <f t="shared" si="8"/>
        <v>32.988842648528674</v>
      </c>
    </row>
    <row r="199" spans="1:26" x14ac:dyDescent="0.25">
      <c r="A199">
        <v>2.778683</v>
      </c>
      <c r="B199">
        <v>1.039312</v>
      </c>
      <c r="C199">
        <v>5.536753</v>
      </c>
      <c r="D199">
        <v>0.56467000000000001</v>
      </c>
      <c r="E199">
        <v>6.1054740000000001</v>
      </c>
      <c r="F199">
        <v>5.0292139999999996</v>
      </c>
      <c r="G199">
        <v>2.1040519999999998</v>
      </c>
      <c r="K199">
        <v>3.334419</v>
      </c>
      <c r="L199">
        <v>571.62164299999995</v>
      </c>
      <c r="M199">
        <v>1107.350586</v>
      </c>
      <c r="N199">
        <v>5.703163</v>
      </c>
      <c r="O199">
        <v>2.2109480000000001</v>
      </c>
      <c r="P199">
        <v>1.17E-4</v>
      </c>
      <c r="Q199">
        <v>10.081032</v>
      </c>
      <c r="Y199">
        <f t="shared" si="7"/>
        <v>2.9213999999999629</v>
      </c>
      <c r="Z199" s="4">
        <f t="shared" si="8"/>
        <v>75.681111795715353</v>
      </c>
    </row>
    <row r="200" spans="1:26" x14ac:dyDescent="0.25">
      <c r="A200">
        <v>2.7842750000000001</v>
      </c>
      <c r="B200">
        <v>1.042273</v>
      </c>
      <c r="C200">
        <v>5.556489</v>
      </c>
      <c r="D200">
        <v>0.56927499999999998</v>
      </c>
      <c r="E200">
        <v>6.1054740000000001</v>
      </c>
      <c r="F200">
        <v>5.0150699999999997</v>
      </c>
      <c r="G200">
        <v>2.1237870000000001</v>
      </c>
      <c r="K200">
        <v>3.3411300000000002</v>
      </c>
      <c r="L200">
        <v>573.24993900000004</v>
      </c>
      <c r="M200">
        <v>1111.2978519999999</v>
      </c>
      <c r="N200">
        <v>5.7496729999999996</v>
      </c>
      <c r="O200">
        <v>2.2109480000000001</v>
      </c>
      <c r="P200">
        <v>6.0000000000000002E-5</v>
      </c>
      <c r="Q200">
        <v>10.475743</v>
      </c>
      <c r="Y200">
        <f t="shared" si="7"/>
        <v>1.5069999999999695</v>
      </c>
      <c r="Z200" s="4">
        <f t="shared" si="8"/>
        <v>146.71187790312177</v>
      </c>
    </row>
    <row r="201" spans="1:26" x14ac:dyDescent="0.25">
      <c r="A201">
        <v>2.8023660000000001</v>
      </c>
      <c r="B201">
        <v>1.051482</v>
      </c>
      <c r="C201">
        <v>5.5755670000000004</v>
      </c>
      <c r="D201">
        <v>0.56697200000000003</v>
      </c>
      <c r="E201">
        <v>6.104158</v>
      </c>
      <c r="F201">
        <v>5.0098079999999996</v>
      </c>
      <c r="G201">
        <v>2.1435230000000001</v>
      </c>
      <c r="K201">
        <v>3.3628390000000001</v>
      </c>
      <c r="L201">
        <v>578.31536900000003</v>
      </c>
      <c r="M201">
        <v>1115.1134030000001</v>
      </c>
      <c r="N201">
        <v>5.7264179999999998</v>
      </c>
      <c r="O201">
        <v>2.2083159999999999</v>
      </c>
      <c r="P201">
        <v>3.8999999999999999E-5</v>
      </c>
      <c r="Q201">
        <v>10.870455</v>
      </c>
      <c r="Y201">
        <f t="shared" si="7"/>
        <v>0.98079999999995948</v>
      </c>
      <c r="Z201" s="4">
        <f t="shared" si="8"/>
        <v>225.15456769984615</v>
      </c>
    </row>
    <row r="202" spans="1:26" x14ac:dyDescent="0.25">
      <c r="A202">
        <v>2.805984</v>
      </c>
      <c r="B202">
        <v>1.0524690000000001</v>
      </c>
      <c r="C202">
        <v>5.5979340000000004</v>
      </c>
      <c r="D202">
        <v>0.56861700000000004</v>
      </c>
      <c r="E202">
        <v>6.104158</v>
      </c>
      <c r="F202">
        <v>5.0078339999999999</v>
      </c>
      <c r="G202">
        <v>2.1616140000000001</v>
      </c>
      <c r="K202">
        <v>3.367181</v>
      </c>
      <c r="L202">
        <v>578.85809300000005</v>
      </c>
      <c r="M202">
        <v>1119.5867920000001</v>
      </c>
      <c r="N202">
        <v>5.7430289999999999</v>
      </c>
      <c r="O202">
        <v>2.2083159999999999</v>
      </c>
      <c r="P202">
        <v>3.1000000000000001E-5</v>
      </c>
      <c r="Q202">
        <v>11.232279</v>
      </c>
      <c r="Y202">
        <f t="shared" si="7"/>
        <v>0.78339999999998966</v>
      </c>
      <c r="Z202" s="4">
        <f t="shared" si="8"/>
        <v>281.88869032423145</v>
      </c>
    </row>
    <row r="203" spans="1:26" x14ac:dyDescent="0.25">
      <c r="A203">
        <v>2.8119049999999999</v>
      </c>
      <c r="B203">
        <v>1.056745</v>
      </c>
      <c r="C203">
        <v>5.6216169999999996</v>
      </c>
      <c r="D203">
        <v>0.56730100000000006</v>
      </c>
      <c r="E203">
        <v>6.1044869999999998</v>
      </c>
      <c r="F203">
        <v>5.0068469999999996</v>
      </c>
      <c r="G203">
        <v>2.1780599999999999</v>
      </c>
      <c r="K203">
        <v>3.3742860000000001</v>
      </c>
      <c r="L203">
        <v>581.20989999999995</v>
      </c>
      <c r="M203">
        <v>1124.323486</v>
      </c>
      <c r="N203">
        <v>5.7297409999999998</v>
      </c>
      <c r="O203">
        <v>2.208974</v>
      </c>
      <c r="P203">
        <v>2.6999999999999999E-5</v>
      </c>
      <c r="Q203">
        <v>11.561206</v>
      </c>
      <c r="Y203">
        <f t="shared" si="7"/>
        <v>0.68469999999996034</v>
      </c>
      <c r="Z203" s="4">
        <f t="shared" si="8"/>
        <v>322.61924930628419</v>
      </c>
    </row>
    <row r="204" spans="1:26" x14ac:dyDescent="0.25">
      <c r="A204">
        <v>2.8092730000000001</v>
      </c>
      <c r="B204">
        <v>1.056745</v>
      </c>
      <c r="C204">
        <v>5.640695</v>
      </c>
      <c r="D204">
        <v>0.56795899999999999</v>
      </c>
      <c r="E204">
        <v>6.104158</v>
      </c>
      <c r="F204">
        <v>5.006189</v>
      </c>
      <c r="G204">
        <v>2.194178</v>
      </c>
      <c r="K204">
        <v>3.3711280000000001</v>
      </c>
      <c r="L204">
        <v>581.20989999999995</v>
      </c>
      <c r="M204">
        <v>1128.139038</v>
      </c>
      <c r="N204">
        <v>5.7363850000000003</v>
      </c>
      <c r="O204">
        <v>2.2083159999999999</v>
      </c>
      <c r="P204">
        <v>2.5000000000000001E-5</v>
      </c>
      <c r="Q204">
        <v>11.883557</v>
      </c>
      <c r="Y204">
        <f t="shared" si="7"/>
        <v>0.61890000000000001</v>
      </c>
      <c r="Z204" s="4">
        <f t="shared" si="8"/>
        <v>356.81305542090803</v>
      </c>
    </row>
    <row r="205" spans="1:26" x14ac:dyDescent="0.25">
      <c r="A205">
        <v>2.8339430000000001</v>
      </c>
      <c r="B205">
        <v>1.0672710000000001</v>
      </c>
      <c r="C205">
        <v>5.6591149999999999</v>
      </c>
      <c r="D205">
        <v>0.57059000000000004</v>
      </c>
      <c r="E205">
        <v>6.1051450000000003</v>
      </c>
      <c r="F205">
        <v>5.0055319999999996</v>
      </c>
      <c r="G205">
        <v>2.206677</v>
      </c>
      <c r="K205">
        <v>3.4007320000000001</v>
      </c>
      <c r="L205">
        <v>586.99902299999997</v>
      </c>
      <c r="M205">
        <v>1131.82312</v>
      </c>
      <c r="N205">
        <v>5.7629619999999999</v>
      </c>
      <c r="O205">
        <v>2.2102900000000001</v>
      </c>
      <c r="P205">
        <v>2.1999999999999999E-5</v>
      </c>
      <c r="Q205">
        <v>12.133539000000001</v>
      </c>
      <c r="Y205">
        <f t="shared" si="7"/>
        <v>0.55319999999996483</v>
      </c>
      <c r="Z205" s="4">
        <f t="shared" si="8"/>
        <v>399.5462762111606</v>
      </c>
    </row>
    <row r="206" spans="1:26" x14ac:dyDescent="0.25">
      <c r="A206">
        <v>2.8457840000000001</v>
      </c>
      <c r="B206">
        <v>1.0735209999999999</v>
      </c>
      <c r="C206">
        <v>5.6798380000000002</v>
      </c>
      <c r="D206">
        <v>0.57420899999999997</v>
      </c>
      <c r="E206">
        <v>6.1058029999999999</v>
      </c>
      <c r="F206">
        <v>5.0065179999999998</v>
      </c>
      <c r="G206">
        <v>2.216545</v>
      </c>
      <c r="K206">
        <v>3.4149409999999998</v>
      </c>
      <c r="L206">
        <v>590.43633999999997</v>
      </c>
      <c r="M206">
        <v>1135.967529</v>
      </c>
      <c r="N206">
        <v>5.7995070000000002</v>
      </c>
      <c r="O206">
        <v>2.211605</v>
      </c>
      <c r="P206">
        <v>2.5999999999999998E-5</v>
      </c>
      <c r="Q206">
        <v>12.330897</v>
      </c>
    </row>
    <row r="207" spans="1:26" x14ac:dyDescent="0.25">
      <c r="A207">
        <v>2.8510469999999999</v>
      </c>
      <c r="B207">
        <v>1.07681</v>
      </c>
      <c r="C207">
        <v>5.7028629999999998</v>
      </c>
      <c r="D207">
        <v>0.57519500000000001</v>
      </c>
      <c r="E207">
        <v>6.1058029999999999</v>
      </c>
      <c r="F207">
        <v>5.006189</v>
      </c>
      <c r="G207">
        <v>2.2237809999999998</v>
      </c>
      <c r="K207">
        <v>3.4212570000000002</v>
      </c>
      <c r="L207">
        <v>592.24542199999996</v>
      </c>
      <c r="M207">
        <v>1140.5726320000001</v>
      </c>
      <c r="N207">
        <v>5.8094729999999997</v>
      </c>
      <c r="O207">
        <v>2.211605</v>
      </c>
      <c r="P207">
        <v>2.5000000000000001E-5</v>
      </c>
      <c r="Q207">
        <v>12.475626999999999</v>
      </c>
    </row>
    <row r="208" spans="1:26" x14ac:dyDescent="0.25">
      <c r="A208">
        <v>2.8461129999999999</v>
      </c>
      <c r="B208">
        <v>1.0771390000000001</v>
      </c>
      <c r="C208">
        <v>5.7258880000000003</v>
      </c>
      <c r="D208">
        <v>0.58012900000000001</v>
      </c>
      <c r="E208">
        <v>6.1054740000000001</v>
      </c>
      <c r="F208">
        <v>5.006189</v>
      </c>
      <c r="G208">
        <v>2.2303600000000001</v>
      </c>
      <c r="K208">
        <v>3.4153359999999999</v>
      </c>
      <c r="L208">
        <v>592.42639199999996</v>
      </c>
      <c r="M208">
        <v>1145.177612</v>
      </c>
      <c r="N208">
        <v>5.859305</v>
      </c>
      <c r="O208">
        <v>2.2109480000000001</v>
      </c>
      <c r="P208">
        <v>2.5000000000000001E-5</v>
      </c>
      <c r="Q208">
        <v>12.607196</v>
      </c>
    </row>
    <row r="209" spans="1:17" x14ac:dyDescent="0.25">
      <c r="A209">
        <v>2.8447979999999999</v>
      </c>
      <c r="B209">
        <v>1.0774680000000001</v>
      </c>
      <c r="C209">
        <v>5.7485840000000001</v>
      </c>
      <c r="D209">
        <v>0.57947099999999996</v>
      </c>
      <c r="E209">
        <v>6.1061319999999997</v>
      </c>
      <c r="F209">
        <v>5.0058610000000003</v>
      </c>
      <c r="G209">
        <v>2.2329910000000002</v>
      </c>
      <c r="K209">
        <v>3.4137569999999999</v>
      </c>
      <c r="L209">
        <v>592.60730000000001</v>
      </c>
      <c r="M209">
        <v>1149.716797</v>
      </c>
      <c r="N209">
        <v>5.8526610000000003</v>
      </c>
      <c r="O209">
        <v>2.2122630000000001</v>
      </c>
      <c r="P209">
        <v>2.3E-5</v>
      </c>
      <c r="Q209">
        <v>12.659824</v>
      </c>
    </row>
    <row r="210" spans="1:17" x14ac:dyDescent="0.25">
      <c r="A210">
        <v>2.8447979999999999</v>
      </c>
      <c r="B210">
        <v>1.0797699999999999</v>
      </c>
      <c r="C210">
        <v>5.769965</v>
      </c>
      <c r="D210">
        <v>0.58341799999999999</v>
      </c>
      <c r="E210">
        <v>6.1054740000000001</v>
      </c>
      <c r="F210">
        <v>5.006189</v>
      </c>
      <c r="G210">
        <v>2.2349649999999999</v>
      </c>
      <c r="K210">
        <v>3.4137569999999999</v>
      </c>
      <c r="L210">
        <v>593.87365699999998</v>
      </c>
      <c r="M210">
        <v>1153.9929199999999</v>
      </c>
      <c r="N210">
        <v>5.8925270000000003</v>
      </c>
      <c r="O210">
        <v>2.2109480000000001</v>
      </c>
      <c r="P210">
        <v>2.5000000000000001E-5</v>
      </c>
      <c r="Q210">
        <v>12.699297</v>
      </c>
    </row>
    <row r="211" spans="1:17" x14ac:dyDescent="0.25">
      <c r="A211">
        <v>2.8520340000000002</v>
      </c>
      <c r="B211">
        <v>1.0824020000000001</v>
      </c>
      <c r="C211">
        <v>5.789701</v>
      </c>
      <c r="D211">
        <v>0.58670800000000001</v>
      </c>
      <c r="E211">
        <v>6.1054740000000001</v>
      </c>
      <c r="F211">
        <v>5.006189</v>
      </c>
      <c r="G211">
        <v>2.2352940000000001</v>
      </c>
      <c r="K211">
        <v>3.4224410000000001</v>
      </c>
      <c r="L211">
        <v>595.32098399999995</v>
      </c>
      <c r="M211">
        <v>1157.940063</v>
      </c>
      <c r="N211">
        <v>5.9257479999999996</v>
      </c>
      <c r="O211">
        <v>2.2109480000000001</v>
      </c>
      <c r="P211">
        <v>2.5000000000000001E-5</v>
      </c>
      <c r="Q211">
        <v>12.705876999999999</v>
      </c>
    </row>
    <row r="212" spans="1:17" x14ac:dyDescent="0.25">
      <c r="A212">
        <v>2.8813089999999999</v>
      </c>
      <c r="B212">
        <v>1.0899669999999999</v>
      </c>
      <c r="C212">
        <v>5.809107</v>
      </c>
      <c r="D212">
        <v>0.58802299999999996</v>
      </c>
      <c r="E212">
        <v>6.1044869999999998</v>
      </c>
      <c r="F212">
        <v>5.0055319999999996</v>
      </c>
      <c r="G212">
        <v>2.2349649999999999</v>
      </c>
      <c r="K212">
        <v>3.45757</v>
      </c>
      <c r="L212">
        <v>599.48187299999995</v>
      </c>
      <c r="M212">
        <v>1161.8214109999999</v>
      </c>
      <c r="N212">
        <v>5.9390369999999999</v>
      </c>
      <c r="O212">
        <v>2.208974</v>
      </c>
      <c r="P212">
        <v>2.1999999999999999E-5</v>
      </c>
      <c r="Q212">
        <v>12.699297</v>
      </c>
    </row>
    <row r="213" spans="1:17" x14ac:dyDescent="0.25">
      <c r="A213">
        <v>2.9003869999999998</v>
      </c>
      <c r="B213">
        <v>1.0991770000000001</v>
      </c>
      <c r="C213">
        <v>5.8258830000000001</v>
      </c>
      <c r="D213">
        <v>0.59591799999999995</v>
      </c>
      <c r="E213">
        <v>6.1051450000000003</v>
      </c>
      <c r="F213">
        <v>5.0058610000000003</v>
      </c>
      <c r="G213">
        <v>2.23332</v>
      </c>
      <c r="K213">
        <v>3.480464</v>
      </c>
      <c r="L213">
        <v>604.54736300000002</v>
      </c>
      <c r="M213">
        <v>1165.1766359999999</v>
      </c>
      <c r="N213">
        <v>6.0187689999999998</v>
      </c>
      <c r="O213">
        <v>2.2102900000000001</v>
      </c>
      <c r="P213">
        <v>2.3E-5</v>
      </c>
      <c r="Q213">
        <v>12.666404999999999</v>
      </c>
    </row>
    <row r="214" spans="1:17" x14ac:dyDescent="0.25">
      <c r="A214">
        <v>2.029385</v>
      </c>
      <c r="B214">
        <v>0.640652</v>
      </c>
      <c r="C214">
        <v>5.8489079999999998</v>
      </c>
      <c r="D214">
        <v>0.58933899999999995</v>
      </c>
      <c r="E214">
        <v>6.1054740000000001</v>
      </c>
      <c r="F214">
        <v>5.0038869999999998</v>
      </c>
      <c r="G214">
        <v>2.2320039999999999</v>
      </c>
      <c r="K214">
        <v>2.4352619999999998</v>
      </c>
      <c r="L214">
        <v>352.358521</v>
      </c>
      <c r="M214">
        <v>1169.781616</v>
      </c>
      <c r="N214">
        <v>5.9523260000000002</v>
      </c>
      <c r="O214">
        <v>2.2109480000000001</v>
      </c>
      <c r="P214">
        <v>1.5999999999999999E-5</v>
      </c>
      <c r="Q214">
        <v>12.640088</v>
      </c>
    </row>
    <row r="215" spans="1:17" x14ac:dyDescent="0.25">
      <c r="A215">
        <v>3.9701E-2</v>
      </c>
      <c r="B215">
        <v>7.4660000000000004E-3</v>
      </c>
      <c r="C215">
        <v>5.7956209999999997</v>
      </c>
      <c r="D215">
        <v>0.48441099999999998</v>
      </c>
      <c r="E215">
        <v>6.1284989999999997</v>
      </c>
      <c r="F215">
        <v>6.3478960000000004</v>
      </c>
      <c r="G215">
        <v>2.213584</v>
      </c>
      <c r="K215">
        <v>4.7641999999999997E-2</v>
      </c>
      <c r="L215">
        <v>4.1065209999999999</v>
      </c>
      <c r="M215">
        <v>1159.124268</v>
      </c>
      <c r="N215">
        <v>4.8925539999999996</v>
      </c>
      <c r="O215">
        <v>2.2569979999999998</v>
      </c>
      <c r="P215">
        <v>5.3920000000000001E-3</v>
      </c>
      <c r="Q215">
        <v>12.271687999999999</v>
      </c>
    </row>
    <row r="216" spans="1:17" x14ac:dyDescent="0.25">
      <c r="A216">
        <v>1.2071E-2</v>
      </c>
      <c r="B216">
        <v>-2.0699999999999998E-3</v>
      </c>
      <c r="C216" t="s">
        <v>9</v>
      </c>
      <c r="D216" t="s">
        <v>10</v>
      </c>
      <c r="E216" t="s">
        <v>11</v>
      </c>
      <c r="F216" t="s">
        <v>12</v>
      </c>
      <c r="G216" t="s">
        <v>13</v>
      </c>
      <c r="K216">
        <v>1.4486000000000001E-2</v>
      </c>
      <c r="L216">
        <v>-1.139872</v>
      </c>
      <c r="M216">
        <v>1121.8236079999999</v>
      </c>
      <c r="N216">
        <v>4.8128219999999997</v>
      </c>
      <c r="O216">
        <v>2.3089689999999998</v>
      </c>
      <c r="P216">
        <v>8.1989999999999997E-3</v>
      </c>
      <c r="Q216">
        <v>11.377003999999999</v>
      </c>
    </row>
    <row r="217" spans="1:17" x14ac:dyDescent="0.25">
      <c r="A217">
        <v>6.8089999999999999E-3</v>
      </c>
      <c r="B217">
        <v>-3.0500000000000002E-3</v>
      </c>
      <c r="C217" t="s">
        <v>14</v>
      </c>
      <c r="D217" t="s">
        <v>15</v>
      </c>
      <c r="E217" t="s">
        <v>16</v>
      </c>
      <c r="F217" t="s">
        <v>17</v>
      </c>
      <c r="G217" t="s">
        <v>18</v>
      </c>
      <c r="K217">
        <v>8.1700000000000002E-3</v>
      </c>
      <c r="L217">
        <v>-1.6826030000000001</v>
      </c>
      <c r="M217">
        <v>1079.9837649999999</v>
      </c>
      <c r="N217">
        <v>4.8161440000000004</v>
      </c>
      <c r="O217">
        <v>2.3392309999999998</v>
      </c>
      <c r="P217">
        <v>7.1139999999999997E-3</v>
      </c>
      <c r="Q217">
        <v>10.127079999999999</v>
      </c>
    </row>
    <row r="220" spans="1:17" x14ac:dyDescent="0.25">
      <c r="E220">
        <f>(E213-5)*10/5</f>
        <v>2.2102900000000005</v>
      </c>
      <c r="O220">
        <f>O213</f>
        <v>2.2102900000000001</v>
      </c>
    </row>
    <row r="221" spans="1:17" x14ac:dyDescent="0.25">
      <c r="E221">
        <f>(E214-5)*10/5</f>
        <v>2.2109480000000001</v>
      </c>
      <c r="O221">
        <f>O214</f>
        <v>2.2109480000000001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16"/>
  <sheetViews>
    <sheetView workbookViewId="0">
      <selection activeCell="G1" sqref="A1:G1048576"/>
    </sheetView>
  </sheetViews>
  <sheetFormatPr defaultRowHeight="15.75" x14ac:dyDescent="0.25"/>
  <sheetData>
    <row r="1" spans="1:15" x14ac:dyDescent="0.25">
      <c r="A1">
        <v>26</v>
      </c>
      <c r="B1" t="s">
        <v>19</v>
      </c>
      <c r="C1">
        <v>2021</v>
      </c>
      <c r="D1" t="s">
        <v>20</v>
      </c>
      <c r="E1" s="2">
        <v>0.3666666666666667</v>
      </c>
    </row>
    <row r="2" spans="1:15" x14ac:dyDescent="0.25">
      <c r="A2">
        <v>5</v>
      </c>
      <c r="B2">
        <v>45</v>
      </c>
      <c r="C2" t="s">
        <v>21</v>
      </c>
      <c r="D2">
        <v>2</v>
      </c>
      <c r="E2">
        <v>0</v>
      </c>
      <c r="F2" t="s">
        <v>22</v>
      </c>
      <c r="G2" t="s">
        <v>23</v>
      </c>
      <c r="H2">
        <v>2</v>
      </c>
      <c r="I2">
        <v>0</v>
      </c>
      <c r="J2" t="s">
        <v>22</v>
      </c>
      <c r="K2">
        <v>0</v>
      </c>
      <c r="L2" t="s">
        <v>24</v>
      </c>
      <c r="M2">
        <v>2000</v>
      </c>
      <c r="N2" t="s">
        <v>25</v>
      </c>
      <c r="O2" t="s">
        <v>26</v>
      </c>
    </row>
    <row r="3" spans="1:15" x14ac:dyDescent="0.25">
      <c r="A3">
        <v>8.5649999999999997E-3</v>
      </c>
      <c r="B3">
        <v>1.573779</v>
      </c>
      <c r="C3">
        <v>571.722534</v>
      </c>
      <c r="D3">
        <v>5.0254409999999998</v>
      </c>
      <c r="E3">
        <v>1.2378999999999999E-2</v>
      </c>
      <c r="F3">
        <v>1.9999999999999999E-6</v>
      </c>
      <c r="G3">
        <v>6.6682550000000003</v>
      </c>
    </row>
    <row r="4" spans="1:15" x14ac:dyDescent="0.25">
      <c r="A4">
        <v>9.7490000000000007E-3</v>
      </c>
      <c r="B4">
        <v>1.3928689999999999</v>
      </c>
      <c r="C4">
        <v>571.85412599999995</v>
      </c>
      <c r="D4">
        <v>5.0885619999999996</v>
      </c>
      <c r="E4">
        <v>1.0406E-2</v>
      </c>
      <c r="F4">
        <v>1.2999999999999999E-5</v>
      </c>
      <c r="G4">
        <v>6.251614</v>
      </c>
    </row>
    <row r="5" spans="1:15" x14ac:dyDescent="0.25">
      <c r="A5">
        <v>0.18026500000000001</v>
      </c>
      <c r="B5">
        <v>13.332936999999999</v>
      </c>
      <c r="C5">
        <v>572.05145300000004</v>
      </c>
      <c r="D5">
        <v>5.0719510000000003</v>
      </c>
      <c r="E5">
        <v>1.0406E-2</v>
      </c>
      <c r="F5">
        <v>9.7999999999999997E-5</v>
      </c>
      <c r="G5">
        <v>5.915699</v>
      </c>
    </row>
    <row r="6" spans="1:15" x14ac:dyDescent="0.25">
      <c r="A6">
        <v>0.21421000000000001</v>
      </c>
      <c r="B6">
        <v>15.322948999999999</v>
      </c>
      <c r="C6">
        <v>571.98565699999995</v>
      </c>
      <c r="D6">
        <v>5.0819179999999999</v>
      </c>
      <c r="E6">
        <v>2.0272999999999999E-2</v>
      </c>
      <c r="F6">
        <v>9.19E-4</v>
      </c>
      <c r="G6">
        <v>5.6722929999999998</v>
      </c>
    </row>
    <row r="7" spans="1:15" x14ac:dyDescent="0.25">
      <c r="A7">
        <v>0.24973500000000001</v>
      </c>
      <c r="B7">
        <v>17.855689999999999</v>
      </c>
      <c r="C7">
        <v>572.05145300000004</v>
      </c>
      <c r="D7">
        <v>5.0486959999999996</v>
      </c>
      <c r="E7">
        <v>2.2246999999999999E-2</v>
      </c>
      <c r="F7">
        <v>3.68E-4</v>
      </c>
      <c r="G7">
        <v>5.451911</v>
      </c>
    </row>
    <row r="8" spans="1:15" x14ac:dyDescent="0.25">
      <c r="A8">
        <v>0.27104899999999998</v>
      </c>
      <c r="B8">
        <v>19.483881</v>
      </c>
      <c r="C8">
        <v>571.65673800000002</v>
      </c>
      <c r="D8">
        <v>5.0520189999999996</v>
      </c>
      <c r="E8">
        <v>1.8957000000000002E-2</v>
      </c>
      <c r="F8">
        <v>1.4799999999999999E-4</v>
      </c>
      <c r="G8">
        <v>5.2512650000000001</v>
      </c>
    </row>
    <row r="9" spans="1:15" x14ac:dyDescent="0.25">
      <c r="A9">
        <v>0.293153</v>
      </c>
      <c r="B9">
        <v>21.292981999999999</v>
      </c>
      <c r="C9">
        <v>571.98565699999995</v>
      </c>
      <c r="D9">
        <v>5.0686289999999996</v>
      </c>
      <c r="E9">
        <v>2.1589000000000001E-2</v>
      </c>
      <c r="F9">
        <v>6.3999999999999997E-5</v>
      </c>
      <c r="G9">
        <v>5.0670650000000004</v>
      </c>
    </row>
    <row r="10" spans="1:15" x14ac:dyDescent="0.25">
      <c r="A10">
        <v>0.32670399999999999</v>
      </c>
      <c r="B10">
        <v>23.463905</v>
      </c>
      <c r="C10">
        <v>571.85412599999995</v>
      </c>
      <c r="D10">
        <v>5.0586630000000001</v>
      </c>
      <c r="E10">
        <v>1.8957000000000002E-2</v>
      </c>
      <c r="F10">
        <v>3.4E-5</v>
      </c>
      <c r="G10">
        <v>4.8894440000000001</v>
      </c>
    </row>
    <row r="11" spans="1:15" x14ac:dyDescent="0.25">
      <c r="A11">
        <v>0.35117599999999999</v>
      </c>
      <c r="B11">
        <v>26.177557</v>
      </c>
      <c r="C11">
        <v>571.91986099999997</v>
      </c>
      <c r="D11">
        <v>5.0686289999999996</v>
      </c>
      <c r="E11">
        <v>2.2246999999999999E-2</v>
      </c>
      <c r="F11">
        <v>1.8E-5</v>
      </c>
      <c r="G11">
        <v>4.7414269999999998</v>
      </c>
    </row>
    <row r="12" spans="1:15" x14ac:dyDescent="0.25">
      <c r="A12">
        <v>0.38551600000000003</v>
      </c>
      <c r="B12">
        <v>28.710297000000001</v>
      </c>
      <c r="C12">
        <v>571.85412599999995</v>
      </c>
      <c r="D12">
        <v>5.0287629999999996</v>
      </c>
      <c r="E12">
        <v>2.1589000000000001E-2</v>
      </c>
      <c r="F12">
        <v>1.4E-5</v>
      </c>
      <c r="G12">
        <v>4.5966990000000001</v>
      </c>
    </row>
    <row r="13" spans="1:15" x14ac:dyDescent="0.25">
      <c r="A13">
        <v>0.41077799999999998</v>
      </c>
      <c r="B13">
        <v>30.519397999999999</v>
      </c>
      <c r="C13">
        <v>571.91986099999997</v>
      </c>
      <c r="D13">
        <v>5.0320850000000004</v>
      </c>
      <c r="E13">
        <v>2.2904000000000001E-2</v>
      </c>
      <c r="F13">
        <v>1.2E-5</v>
      </c>
      <c r="G13">
        <v>4.4717060000000002</v>
      </c>
    </row>
    <row r="14" spans="1:15" x14ac:dyDescent="0.25">
      <c r="A14">
        <v>0.44827499999999998</v>
      </c>
      <c r="B14">
        <v>33.233051000000003</v>
      </c>
      <c r="C14">
        <v>571.98565699999995</v>
      </c>
      <c r="D14">
        <v>5.0453739999999998</v>
      </c>
      <c r="E14">
        <v>1.83E-2</v>
      </c>
      <c r="F14">
        <v>-3.9999999999999998E-6</v>
      </c>
      <c r="G14">
        <v>3.9973999999999998</v>
      </c>
    </row>
    <row r="15" spans="1:15" x14ac:dyDescent="0.25">
      <c r="A15">
        <v>0.479458</v>
      </c>
      <c r="B15">
        <v>36.127612999999997</v>
      </c>
      <c r="C15">
        <v>572.31457499999999</v>
      </c>
      <c r="D15">
        <v>5.0885619999999996</v>
      </c>
      <c r="E15">
        <v>2.1589000000000001E-2</v>
      </c>
      <c r="F15">
        <v>1.9000000000000001E-5</v>
      </c>
      <c r="G15">
        <v>4.2414560000000003</v>
      </c>
    </row>
    <row r="16" spans="1:15" x14ac:dyDescent="0.25">
      <c r="A16">
        <v>0.51300800000000002</v>
      </c>
      <c r="B16">
        <v>38.660355000000003</v>
      </c>
      <c r="C16">
        <v>572.11724900000002</v>
      </c>
      <c r="D16">
        <v>5.1284280000000004</v>
      </c>
      <c r="E16">
        <v>2.2246999999999999E-2</v>
      </c>
      <c r="F16">
        <v>1.2999999999999999E-5</v>
      </c>
      <c r="G16">
        <v>4.1361999999999997</v>
      </c>
    </row>
    <row r="17" spans="1:7" x14ac:dyDescent="0.25">
      <c r="A17">
        <v>0.55761099999999997</v>
      </c>
      <c r="B17">
        <v>42.278556999999999</v>
      </c>
      <c r="C17">
        <v>571.98565699999995</v>
      </c>
      <c r="D17">
        <v>5.1350730000000002</v>
      </c>
      <c r="E17">
        <v>2.8826000000000001E-2</v>
      </c>
      <c r="F17">
        <v>1.346E-3</v>
      </c>
      <c r="G17">
        <v>4.0539670000000001</v>
      </c>
    </row>
    <row r="18" spans="1:7" x14ac:dyDescent="0.25">
      <c r="A18">
        <v>0.598661</v>
      </c>
      <c r="B18">
        <v>45.896759000000003</v>
      </c>
      <c r="C18">
        <v>572.24877900000001</v>
      </c>
      <c r="D18">
        <v>5.1550050000000001</v>
      </c>
      <c r="E18">
        <v>3.2772999999999997E-2</v>
      </c>
      <c r="F18">
        <v>5.2899999999999996E-4</v>
      </c>
      <c r="G18">
        <v>3.9491580000000002</v>
      </c>
    </row>
    <row r="19" spans="1:7" x14ac:dyDescent="0.25">
      <c r="A19">
        <v>0.63615900000000003</v>
      </c>
      <c r="B19">
        <v>49.514961</v>
      </c>
      <c r="C19">
        <v>572.11724900000002</v>
      </c>
      <c r="D19">
        <v>5.178261</v>
      </c>
      <c r="E19">
        <v>3.9350999999999997E-2</v>
      </c>
      <c r="F19">
        <v>1.4790000000000001E-3</v>
      </c>
      <c r="G19">
        <v>3.8439009999999998</v>
      </c>
    </row>
    <row r="20" spans="1:7" x14ac:dyDescent="0.25">
      <c r="A20">
        <v>0.68076099999999995</v>
      </c>
      <c r="B20">
        <v>53.494987000000002</v>
      </c>
      <c r="C20">
        <v>572.05145300000004</v>
      </c>
      <c r="D20">
        <v>5.1915490000000002</v>
      </c>
      <c r="E20">
        <v>4.1325000000000001E-2</v>
      </c>
      <c r="F20">
        <v>5.6800000000000004E-4</v>
      </c>
      <c r="G20">
        <v>3.7386439999999999</v>
      </c>
    </row>
    <row r="21" spans="1:7" x14ac:dyDescent="0.25">
      <c r="A21">
        <v>0.71589100000000006</v>
      </c>
      <c r="B21">
        <v>56.751368999999997</v>
      </c>
      <c r="C21">
        <v>572.24877900000001</v>
      </c>
      <c r="D21">
        <v>5.2480260000000003</v>
      </c>
      <c r="E21">
        <v>5.3165999999999998E-2</v>
      </c>
      <c r="F21">
        <v>1.4040000000000001E-3</v>
      </c>
      <c r="G21">
        <v>3.6333869999999999</v>
      </c>
    </row>
    <row r="22" spans="1:7" x14ac:dyDescent="0.25">
      <c r="A22">
        <v>0.76009899999999997</v>
      </c>
      <c r="B22">
        <v>60.912300000000002</v>
      </c>
      <c r="C22">
        <v>572.05145300000004</v>
      </c>
      <c r="D22">
        <v>5.2746029999999999</v>
      </c>
      <c r="E22">
        <v>4.9218999999999999E-2</v>
      </c>
      <c r="F22">
        <v>5.3499999999999999E-4</v>
      </c>
      <c r="G22">
        <v>3.5369009999999999</v>
      </c>
    </row>
    <row r="23" spans="1:7" x14ac:dyDescent="0.25">
      <c r="A23">
        <v>0.81062199999999995</v>
      </c>
      <c r="B23">
        <v>64.711417999999995</v>
      </c>
      <c r="C23">
        <v>572.183044</v>
      </c>
      <c r="D23">
        <v>5.2912140000000001</v>
      </c>
      <c r="E23">
        <v>6.2376000000000001E-2</v>
      </c>
      <c r="F23">
        <v>1.58E-3</v>
      </c>
      <c r="G23">
        <v>3.4667289999999999</v>
      </c>
    </row>
    <row r="24" spans="1:7" x14ac:dyDescent="0.25">
      <c r="A24">
        <v>0.86390800000000001</v>
      </c>
      <c r="B24">
        <v>69.776893999999999</v>
      </c>
      <c r="C24">
        <v>572.31457499999999</v>
      </c>
      <c r="D24">
        <v>5.2978589999999999</v>
      </c>
      <c r="E24">
        <v>6.2376000000000001E-2</v>
      </c>
      <c r="F24">
        <v>6.2299999999999996E-4</v>
      </c>
      <c r="G24">
        <v>3.3921730000000001</v>
      </c>
    </row>
    <row r="25" spans="1:7" x14ac:dyDescent="0.25">
      <c r="A25">
        <v>0.90732699999999999</v>
      </c>
      <c r="B25">
        <v>75.566017000000002</v>
      </c>
      <c r="C25">
        <v>572.24877900000001</v>
      </c>
      <c r="D25">
        <v>5.33108</v>
      </c>
      <c r="E25">
        <v>7.2901999999999995E-2</v>
      </c>
      <c r="F25">
        <v>1.4400000000000001E-3</v>
      </c>
      <c r="G25">
        <v>3.335159</v>
      </c>
    </row>
    <row r="26" spans="1:7" x14ac:dyDescent="0.25">
      <c r="A26">
        <v>0.96850700000000001</v>
      </c>
      <c r="B26">
        <v>80.269683999999998</v>
      </c>
      <c r="C26">
        <v>572.11724900000002</v>
      </c>
      <c r="D26">
        <v>5.354336</v>
      </c>
      <c r="E26">
        <v>7.0929000000000006E-2</v>
      </c>
      <c r="F26">
        <v>5.6300000000000002E-4</v>
      </c>
      <c r="G26">
        <v>3.2825310000000001</v>
      </c>
    </row>
    <row r="27" spans="1:7" x14ac:dyDescent="0.25">
      <c r="A27">
        <v>1.0281089999999999</v>
      </c>
      <c r="B27">
        <v>85.877898999999999</v>
      </c>
      <c r="C27">
        <v>572.24877900000001</v>
      </c>
      <c r="D27">
        <v>5.4074900000000001</v>
      </c>
      <c r="E27">
        <v>7.9479999999999995E-2</v>
      </c>
      <c r="F27">
        <v>1.6149999999999999E-3</v>
      </c>
      <c r="G27">
        <v>3.2342870000000001</v>
      </c>
    </row>
    <row r="28" spans="1:7" x14ac:dyDescent="0.25">
      <c r="A28">
        <v>1.0849470000000001</v>
      </c>
      <c r="B28">
        <v>91.847931000000003</v>
      </c>
      <c r="C28">
        <v>572.183044</v>
      </c>
      <c r="D28">
        <v>5.4008459999999996</v>
      </c>
      <c r="E28">
        <v>8.0138000000000001E-2</v>
      </c>
      <c r="F28">
        <v>6.3699999999999998E-4</v>
      </c>
      <c r="G28">
        <v>3.1860460000000002</v>
      </c>
    </row>
    <row r="29" spans="1:7" x14ac:dyDescent="0.25">
      <c r="A29">
        <v>1.144549</v>
      </c>
      <c r="B29">
        <v>98.360695000000007</v>
      </c>
      <c r="C29">
        <v>571.98565699999995</v>
      </c>
      <c r="D29">
        <v>5.4340679999999999</v>
      </c>
      <c r="E29">
        <v>8.3427000000000001E-2</v>
      </c>
      <c r="F29">
        <v>2.5500000000000002E-4</v>
      </c>
      <c r="G29">
        <v>3.1553450000000001</v>
      </c>
    </row>
    <row r="30" spans="1:7" x14ac:dyDescent="0.25">
      <c r="A30">
        <v>1.210072</v>
      </c>
      <c r="B30">
        <v>104.33073400000001</v>
      </c>
      <c r="C30">
        <v>571.85412599999995</v>
      </c>
      <c r="D30">
        <v>5.4506779999999999</v>
      </c>
      <c r="E30">
        <v>8.9348999999999998E-2</v>
      </c>
      <c r="F30">
        <v>1.4920000000000001E-3</v>
      </c>
      <c r="G30">
        <v>3.1158739999999998</v>
      </c>
    </row>
    <row r="31" spans="1:7" x14ac:dyDescent="0.25">
      <c r="A31">
        <v>1.2542789999999999</v>
      </c>
      <c r="B31">
        <v>111.205315</v>
      </c>
      <c r="C31">
        <v>571.98565699999995</v>
      </c>
      <c r="D31">
        <v>5.4606450000000004</v>
      </c>
      <c r="E31">
        <v>8.8691000000000006E-2</v>
      </c>
      <c r="F31">
        <v>5.7300000000000005E-4</v>
      </c>
      <c r="G31">
        <v>3.0895589999999999</v>
      </c>
    </row>
    <row r="32" spans="1:7" x14ac:dyDescent="0.25">
      <c r="A32">
        <v>1.3348009999999999</v>
      </c>
      <c r="B32">
        <v>118.98445100000001</v>
      </c>
      <c r="C32">
        <v>571.65673800000002</v>
      </c>
      <c r="D32">
        <v>5.470612</v>
      </c>
      <c r="E32">
        <v>9.1980000000000006E-2</v>
      </c>
      <c r="F32">
        <v>2.3000000000000001E-4</v>
      </c>
      <c r="G32">
        <v>3.0544739999999999</v>
      </c>
    </row>
    <row r="33" spans="1:7" x14ac:dyDescent="0.25">
      <c r="A33">
        <v>1.3963760000000001</v>
      </c>
      <c r="B33">
        <v>126.763588</v>
      </c>
      <c r="C33">
        <v>572.24877900000001</v>
      </c>
      <c r="D33">
        <v>5.4938669999999998</v>
      </c>
      <c r="E33">
        <v>9.0663999999999995E-2</v>
      </c>
      <c r="F33">
        <v>9.2E-5</v>
      </c>
      <c r="G33">
        <v>3.036931</v>
      </c>
    </row>
    <row r="34" spans="1:7" x14ac:dyDescent="0.25">
      <c r="A34">
        <v>1.4449259999999999</v>
      </c>
      <c r="B34">
        <v>134</v>
      </c>
      <c r="C34">
        <v>572.183044</v>
      </c>
      <c r="D34">
        <v>5.5171219999999996</v>
      </c>
      <c r="E34">
        <v>9.3296000000000004E-2</v>
      </c>
      <c r="F34">
        <v>4.3000000000000002E-5</v>
      </c>
      <c r="G34">
        <v>3.0325449999999998</v>
      </c>
    </row>
    <row r="35" spans="1:7" x14ac:dyDescent="0.25">
      <c r="A35">
        <v>1.4982120000000001</v>
      </c>
      <c r="B35">
        <v>141.598206</v>
      </c>
      <c r="C35">
        <v>571.98565699999995</v>
      </c>
      <c r="D35">
        <v>5.5171219999999996</v>
      </c>
      <c r="E35">
        <v>9.0007000000000004E-2</v>
      </c>
      <c r="F35">
        <v>2.5000000000000001E-5</v>
      </c>
      <c r="G35">
        <v>3.0325449999999998</v>
      </c>
    </row>
    <row r="36" spans="1:7" x14ac:dyDescent="0.25">
      <c r="A36">
        <v>1.558603</v>
      </c>
      <c r="B36">
        <v>149.37735000000001</v>
      </c>
      <c r="C36">
        <v>571.91986099999997</v>
      </c>
      <c r="D36">
        <v>5.510478</v>
      </c>
      <c r="E36">
        <v>9.1980000000000006E-2</v>
      </c>
      <c r="F36">
        <v>1.7E-5</v>
      </c>
      <c r="G36">
        <v>3.036931</v>
      </c>
    </row>
    <row r="37" spans="1:7" x14ac:dyDescent="0.25">
      <c r="A37">
        <v>1.61781</v>
      </c>
      <c r="B37">
        <v>158.60377500000001</v>
      </c>
      <c r="C37">
        <v>572.38037099999997</v>
      </c>
      <c r="D37">
        <v>5.5536659999999998</v>
      </c>
      <c r="E37">
        <v>9.1322E-2</v>
      </c>
      <c r="F37">
        <v>1.2999999999999999E-5</v>
      </c>
      <c r="G37">
        <v>3.045703</v>
      </c>
    </row>
    <row r="38" spans="1:7" x14ac:dyDescent="0.25">
      <c r="A38">
        <v>1.6857009999999999</v>
      </c>
      <c r="B38">
        <v>167.468369</v>
      </c>
      <c r="C38">
        <v>572.183044</v>
      </c>
      <c r="D38">
        <v>5.5403770000000003</v>
      </c>
      <c r="E38">
        <v>9.0663999999999995E-2</v>
      </c>
      <c r="F38">
        <v>1.5999999999999999E-5</v>
      </c>
      <c r="G38">
        <v>3.0588609999999998</v>
      </c>
    </row>
    <row r="39" spans="1:7" x14ac:dyDescent="0.25">
      <c r="A39">
        <v>1.716094</v>
      </c>
      <c r="B39">
        <v>172.53384399999999</v>
      </c>
      <c r="C39">
        <v>572.51196300000004</v>
      </c>
      <c r="D39">
        <v>5.5603100000000003</v>
      </c>
      <c r="E39">
        <v>9.3296000000000004E-2</v>
      </c>
      <c r="F39">
        <v>1.5999999999999999E-5</v>
      </c>
      <c r="G39">
        <v>3.0764019999999999</v>
      </c>
    </row>
    <row r="40" spans="1:7" x14ac:dyDescent="0.25">
      <c r="A40">
        <v>1.759118</v>
      </c>
      <c r="B40">
        <v>179.408432</v>
      </c>
      <c r="C40">
        <v>572.11724900000002</v>
      </c>
      <c r="D40">
        <v>5.5835650000000001</v>
      </c>
      <c r="E40">
        <v>9.2637999999999998E-2</v>
      </c>
      <c r="F40">
        <v>1.5999999999999999E-5</v>
      </c>
      <c r="G40">
        <v>3.0807890000000002</v>
      </c>
    </row>
    <row r="41" spans="1:7" x14ac:dyDescent="0.25">
      <c r="A41">
        <v>1.7847740000000001</v>
      </c>
      <c r="B41">
        <v>184.654831</v>
      </c>
      <c r="C41">
        <v>572.31457499999999</v>
      </c>
      <c r="D41">
        <v>5.6001760000000003</v>
      </c>
      <c r="E41">
        <v>9.0663999999999995E-2</v>
      </c>
      <c r="F41">
        <v>1.5999999999999999E-5</v>
      </c>
      <c r="G41">
        <v>3.0851739999999999</v>
      </c>
    </row>
    <row r="42" spans="1:7" x14ac:dyDescent="0.25">
      <c r="A42">
        <v>1.8045100000000001</v>
      </c>
      <c r="B42">
        <v>187.91120900000001</v>
      </c>
      <c r="C42">
        <v>572.05145300000004</v>
      </c>
      <c r="D42">
        <v>5.6101429999999999</v>
      </c>
      <c r="E42">
        <v>9.0007000000000004E-2</v>
      </c>
      <c r="F42">
        <v>1.7E-5</v>
      </c>
      <c r="G42">
        <v>3.0720160000000001</v>
      </c>
    </row>
    <row r="43" spans="1:7" x14ac:dyDescent="0.25">
      <c r="A43">
        <v>1.844376</v>
      </c>
      <c r="B43">
        <v>194.60488900000001</v>
      </c>
      <c r="C43">
        <v>572.24877900000001</v>
      </c>
      <c r="D43">
        <v>5.6101429999999999</v>
      </c>
      <c r="E43">
        <v>9.1322E-2</v>
      </c>
      <c r="F43">
        <v>1.7E-5</v>
      </c>
      <c r="G43">
        <v>3.0588609999999998</v>
      </c>
    </row>
    <row r="44" spans="1:7" x14ac:dyDescent="0.25">
      <c r="A44">
        <v>1.8771370000000001</v>
      </c>
      <c r="B44">
        <v>200.21310399999999</v>
      </c>
      <c r="C44">
        <v>571.98565699999995</v>
      </c>
      <c r="D44">
        <v>5.6333979999999997</v>
      </c>
      <c r="E44">
        <v>9.1322E-2</v>
      </c>
      <c r="F44">
        <v>1.7E-5</v>
      </c>
      <c r="G44">
        <v>3.041318</v>
      </c>
    </row>
    <row r="45" spans="1:7" x14ac:dyDescent="0.25">
      <c r="A45">
        <v>1.903977</v>
      </c>
      <c r="B45">
        <v>205.640411</v>
      </c>
      <c r="C45">
        <v>572.24877900000001</v>
      </c>
      <c r="D45">
        <v>5.646687</v>
      </c>
      <c r="E45">
        <v>9.2637999999999998E-2</v>
      </c>
      <c r="F45">
        <v>1.5999999999999999E-5</v>
      </c>
      <c r="G45">
        <v>3.0062319999999998</v>
      </c>
    </row>
    <row r="46" spans="1:7" x14ac:dyDescent="0.25">
      <c r="A46">
        <v>1.930423</v>
      </c>
      <c r="B46">
        <v>210.34406999999999</v>
      </c>
      <c r="C46">
        <v>572.05145300000004</v>
      </c>
      <c r="D46">
        <v>5.6699419999999998</v>
      </c>
      <c r="E46">
        <v>8.9348999999999998E-2</v>
      </c>
      <c r="F46">
        <v>1.8E-5</v>
      </c>
      <c r="G46">
        <v>2.984302</v>
      </c>
    </row>
    <row r="47" spans="1:7" x14ac:dyDescent="0.25">
      <c r="A47">
        <v>1.9675260000000001</v>
      </c>
      <c r="B47">
        <v>216.495026</v>
      </c>
      <c r="C47">
        <v>572.11724900000002</v>
      </c>
      <c r="D47">
        <v>5.6732639999999996</v>
      </c>
      <c r="E47">
        <v>9.1980000000000006E-2</v>
      </c>
      <c r="F47">
        <v>2.0999999999999999E-5</v>
      </c>
      <c r="G47">
        <v>2.949217</v>
      </c>
    </row>
    <row r="48" spans="1:7" x14ac:dyDescent="0.25">
      <c r="A48">
        <v>1.9919990000000001</v>
      </c>
      <c r="B48">
        <v>222.465057</v>
      </c>
      <c r="C48">
        <v>572.183044</v>
      </c>
      <c r="D48">
        <v>5.6799080000000002</v>
      </c>
      <c r="E48">
        <v>8.9348999999999998E-2</v>
      </c>
      <c r="F48">
        <v>1.9000000000000001E-5</v>
      </c>
      <c r="G48">
        <v>2.9009749999999999</v>
      </c>
    </row>
    <row r="49" spans="1:7" x14ac:dyDescent="0.25">
      <c r="A49">
        <v>2.0247600000000001</v>
      </c>
      <c r="B49">
        <v>226.08325199999999</v>
      </c>
      <c r="C49">
        <v>572.183044</v>
      </c>
      <c r="D49">
        <v>5.7164520000000003</v>
      </c>
      <c r="E49">
        <v>9.2637999999999998E-2</v>
      </c>
      <c r="F49">
        <v>1.9000000000000001E-5</v>
      </c>
      <c r="G49">
        <v>2.8571170000000001</v>
      </c>
    </row>
    <row r="50" spans="1:7" x14ac:dyDescent="0.25">
      <c r="A50">
        <v>2.0563370000000001</v>
      </c>
      <c r="B50">
        <v>233.13876300000001</v>
      </c>
      <c r="C50">
        <v>572.05145300000004</v>
      </c>
      <c r="D50">
        <v>5.7330629999999996</v>
      </c>
      <c r="E50">
        <v>9.1980000000000006E-2</v>
      </c>
      <c r="F50">
        <v>2.3E-5</v>
      </c>
      <c r="G50">
        <v>2.8176459999999999</v>
      </c>
    </row>
    <row r="51" spans="1:7" x14ac:dyDescent="0.25">
      <c r="A51">
        <v>2.0906769999999999</v>
      </c>
      <c r="B51">
        <v>238.02333100000001</v>
      </c>
      <c r="C51">
        <v>571.91986099999997</v>
      </c>
      <c r="D51">
        <v>5.7629619999999999</v>
      </c>
      <c r="E51">
        <v>9.2637999999999998E-2</v>
      </c>
      <c r="F51">
        <v>2.3E-5</v>
      </c>
      <c r="G51">
        <v>2.7694030000000001</v>
      </c>
    </row>
    <row r="52" spans="1:7" x14ac:dyDescent="0.25">
      <c r="A52">
        <v>2.124228</v>
      </c>
      <c r="B52">
        <v>244.35517899999999</v>
      </c>
      <c r="C52">
        <v>571.98565699999995</v>
      </c>
      <c r="D52">
        <v>5.7696069999999997</v>
      </c>
      <c r="E52">
        <v>8.7374999999999994E-2</v>
      </c>
      <c r="F52">
        <v>2.0999999999999999E-5</v>
      </c>
      <c r="G52">
        <v>2.7299319999999998</v>
      </c>
    </row>
    <row r="53" spans="1:7" x14ac:dyDescent="0.25">
      <c r="A53">
        <v>2.1684359999999998</v>
      </c>
      <c r="B53">
        <v>251.22976700000001</v>
      </c>
      <c r="C53">
        <v>571.85412599999995</v>
      </c>
      <c r="D53">
        <v>5.8028279999999999</v>
      </c>
      <c r="E53">
        <v>9.2637999999999998E-2</v>
      </c>
      <c r="F53">
        <v>2.1999999999999999E-5</v>
      </c>
      <c r="G53">
        <v>2.6860750000000002</v>
      </c>
    </row>
    <row r="54" spans="1:7" x14ac:dyDescent="0.25">
      <c r="A54">
        <v>2.1968549999999998</v>
      </c>
      <c r="B54">
        <v>257.01889</v>
      </c>
      <c r="C54">
        <v>572.24877900000001</v>
      </c>
      <c r="D54">
        <v>5.7961840000000002</v>
      </c>
      <c r="E54">
        <v>9.2637999999999998E-2</v>
      </c>
      <c r="F54">
        <v>1.9000000000000001E-5</v>
      </c>
      <c r="G54">
        <v>2.6597599999999999</v>
      </c>
    </row>
    <row r="55" spans="1:7" x14ac:dyDescent="0.25">
      <c r="A55">
        <v>2.224485</v>
      </c>
      <c r="B55">
        <v>262.265289</v>
      </c>
      <c r="C55">
        <v>571.91986099999997</v>
      </c>
      <c r="D55">
        <v>5.8061509999999998</v>
      </c>
      <c r="E55">
        <v>9.3296000000000004E-2</v>
      </c>
      <c r="F55">
        <v>2.1999999999999999E-5</v>
      </c>
      <c r="G55">
        <v>2.615904</v>
      </c>
    </row>
    <row r="56" spans="1:7" x14ac:dyDescent="0.25">
      <c r="A56">
        <v>2.258035</v>
      </c>
      <c r="B56">
        <v>268.77804600000002</v>
      </c>
      <c r="C56">
        <v>571.98565699999995</v>
      </c>
      <c r="D56">
        <v>5.8526610000000003</v>
      </c>
      <c r="E56">
        <v>8.8691000000000006E-2</v>
      </c>
      <c r="F56">
        <v>1.8E-5</v>
      </c>
      <c r="G56">
        <v>2.5808179999999998</v>
      </c>
    </row>
    <row r="57" spans="1:7" x14ac:dyDescent="0.25">
      <c r="A57">
        <v>2.2884280000000001</v>
      </c>
      <c r="B57">
        <v>274.92898600000001</v>
      </c>
      <c r="C57">
        <v>571.91986099999997</v>
      </c>
      <c r="D57">
        <v>5.8526610000000003</v>
      </c>
      <c r="E57">
        <v>9.1980000000000006E-2</v>
      </c>
      <c r="F57">
        <v>1.7E-5</v>
      </c>
      <c r="G57">
        <v>2.5632760000000001</v>
      </c>
    </row>
    <row r="58" spans="1:7" x14ac:dyDescent="0.25">
      <c r="A58">
        <v>2.3286889999999998</v>
      </c>
      <c r="B58">
        <v>282.34631300000001</v>
      </c>
      <c r="C58">
        <v>572.11724900000002</v>
      </c>
      <c r="D58">
        <v>5.8892049999999996</v>
      </c>
      <c r="E58">
        <v>9.3296000000000004E-2</v>
      </c>
      <c r="F58">
        <v>1.8E-5</v>
      </c>
      <c r="G58">
        <v>2.532575</v>
      </c>
    </row>
    <row r="59" spans="1:7" x14ac:dyDescent="0.25">
      <c r="A59">
        <v>2.3705289999999999</v>
      </c>
      <c r="B59">
        <v>290.12545799999998</v>
      </c>
      <c r="C59">
        <v>572.05145300000004</v>
      </c>
      <c r="D59">
        <v>5.9257479999999996</v>
      </c>
      <c r="E59">
        <v>9.1322E-2</v>
      </c>
      <c r="F59">
        <v>1.2999999999999999E-5</v>
      </c>
      <c r="G59">
        <v>2.5194179999999999</v>
      </c>
    </row>
    <row r="60" spans="1:7" x14ac:dyDescent="0.25">
      <c r="A60">
        <v>2.4088159999999998</v>
      </c>
      <c r="B60">
        <v>296.45730600000002</v>
      </c>
      <c r="C60">
        <v>572.38037099999997</v>
      </c>
      <c r="D60">
        <v>5.9490040000000004</v>
      </c>
      <c r="E60">
        <v>8.9348999999999998E-2</v>
      </c>
      <c r="F60">
        <v>1.2E-5</v>
      </c>
      <c r="G60">
        <v>2.4931040000000002</v>
      </c>
    </row>
    <row r="61" spans="1:7" x14ac:dyDescent="0.25">
      <c r="A61">
        <v>2.4451299999999998</v>
      </c>
      <c r="B61">
        <v>305.14099099999999</v>
      </c>
      <c r="C61">
        <v>572.11724900000002</v>
      </c>
      <c r="D61">
        <v>5.9490040000000004</v>
      </c>
      <c r="E61">
        <v>9.1980000000000006E-2</v>
      </c>
      <c r="F61">
        <v>9.0000000000000002E-6</v>
      </c>
      <c r="G61">
        <v>2.4755609999999999</v>
      </c>
    </row>
    <row r="62" spans="1:7" x14ac:dyDescent="0.25">
      <c r="A62">
        <v>2.4814430000000001</v>
      </c>
      <c r="B62">
        <v>312.19650300000001</v>
      </c>
      <c r="C62">
        <v>571.85412599999995</v>
      </c>
      <c r="D62">
        <v>5.9789029999999999</v>
      </c>
      <c r="E62">
        <v>9.0663999999999995E-2</v>
      </c>
      <c r="F62">
        <v>1.2E-5</v>
      </c>
      <c r="G62">
        <v>2.4755609999999999</v>
      </c>
    </row>
    <row r="63" spans="1:7" x14ac:dyDescent="0.25">
      <c r="A63">
        <v>2.5169679999999999</v>
      </c>
      <c r="B63">
        <v>319.25198399999999</v>
      </c>
      <c r="C63">
        <v>572.05145300000004</v>
      </c>
      <c r="D63">
        <v>6.0121250000000002</v>
      </c>
      <c r="E63">
        <v>9.0007000000000004E-2</v>
      </c>
      <c r="F63">
        <v>1.2E-5</v>
      </c>
      <c r="G63">
        <v>2.4843320000000002</v>
      </c>
    </row>
    <row r="64" spans="1:7" x14ac:dyDescent="0.25">
      <c r="A64">
        <v>2.561175</v>
      </c>
      <c r="B64">
        <v>326.850189</v>
      </c>
      <c r="C64">
        <v>572.44616699999995</v>
      </c>
      <c r="D64">
        <v>6.0420239999999996</v>
      </c>
      <c r="E64">
        <v>9.1322E-2</v>
      </c>
      <c r="F64">
        <v>1.2999999999999999E-5</v>
      </c>
      <c r="G64">
        <v>2.4887190000000001</v>
      </c>
    </row>
    <row r="65" spans="1:7" x14ac:dyDescent="0.25">
      <c r="A65">
        <v>2.5978840000000001</v>
      </c>
      <c r="B65">
        <v>335.533905</v>
      </c>
      <c r="C65">
        <v>572.24877900000001</v>
      </c>
      <c r="D65">
        <v>6.0619569999999996</v>
      </c>
      <c r="E65">
        <v>9.1322E-2</v>
      </c>
      <c r="F65">
        <v>1.2999999999999999E-5</v>
      </c>
      <c r="G65">
        <v>2.5150329999999999</v>
      </c>
    </row>
    <row r="66" spans="1:7" x14ac:dyDescent="0.25">
      <c r="A66">
        <v>2.6263030000000001</v>
      </c>
      <c r="B66">
        <v>343.49392699999999</v>
      </c>
      <c r="C66">
        <v>571.52514599999995</v>
      </c>
      <c r="D66">
        <v>6.0652799999999996</v>
      </c>
      <c r="E66">
        <v>8.8691000000000006E-2</v>
      </c>
      <c r="F66">
        <v>1.4E-5</v>
      </c>
      <c r="G66">
        <v>2.5457329999999998</v>
      </c>
    </row>
    <row r="67" spans="1:7" x14ac:dyDescent="0.25">
      <c r="A67">
        <v>2.670906</v>
      </c>
      <c r="B67">
        <v>351.99670400000002</v>
      </c>
      <c r="C67">
        <v>572.11724900000002</v>
      </c>
      <c r="D67">
        <v>6.0951789999999999</v>
      </c>
      <c r="E67">
        <v>9.0007000000000004E-2</v>
      </c>
      <c r="F67">
        <v>1.8E-5</v>
      </c>
      <c r="G67">
        <v>2.5588890000000002</v>
      </c>
    </row>
    <row r="68" spans="1:7" x14ac:dyDescent="0.25">
      <c r="A68">
        <v>2.7111670000000001</v>
      </c>
      <c r="B68">
        <v>359.23312399999998</v>
      </c>
      <c r="C68">
        <v>571.91986099999997</v>
      </c>
      <c r="D68">
        <v>6.1284010000000002</v>
      </c>
      <c r="E68">
        <v>9.2637999999999998E-2</v>
      </c>
      <c r="F68">
        <v>1.7E-5</v>
      </c>
      <c r="G68">
        <v>2.5764320000000001</v>
      </c>
    </row>
    <row r="69" spans="1:7" x14ac:dyDescent="0.25">
      <c r="A69">
        <v>2.7534010000000002</v>
      </c>
      <c r="B69">
        <v>369.00225799999998</v>
      </c>
      <c r="C69">
        <v>572.05145300000004</v>
      </c>
      <c r="D69">
        <v>6.1483340000000002</v>
      </c>
      <c r="E69">
        <v>9.2637999999999998E-2</v>
      </c>
      <c r="F69">
        <v>1.8E-5</v>
      </c>
      <c r="G69">
        <v>2.5895890000000001</v>
      </c>
    </row>
    <row r="70" spans="1:7" x14ac:dyDescent="0.25">
      <c r="A70">
        <v>2.7830050000000002</v>
      </c>
      <c r="B70">
        <v>376.78140300000001</v>
      </c>
      <c r="C70">
        <v>572.31457499999999</v>
      </c>
      <c r="D70">
        <v>6.1416899999999996</v>
      </c>
      <c r="E70">
        <v>9.0007000000000004E-2</v>
      </c>
      <c r="F70">
        <v>1.9000000000000001E-5</v>
      </c>
      <c r="G70">
        <v>2.5808179999999998</v>
      </c>
    </row>
    <row r="71" spans="1:7" x14ac:dyDescent="0.25">
      <c r="A71">
        <v>2.8295810000000001</v>
      </c>
      <c r="B71">
        <v>385.64599600000003</v>
      </c>
      <c r="C71">
        <v>572.11724900000002</v>
      </c>
      <c r="D71">
        <v>6.2014880000000003</v>
      </c>
      <c r="E71">
        <v>9.1322E-2</v>
      </c>
      <c r="F71">
        <v>1.8E-5</v>
      </c>
      <c r="G71">
        <v>2.5676610000000002</v>
      </c>
    </row>
    <row r="72" spans="1:7" x14ac:dyDescent="0.25">
      <c r="A72">
        <v>2.6898520000000001</v>
      </c>
      <c r="B72">
        <v>366.65045199999997</v>
      </c>
      <c r="C72">
        <v>582.18243399999994</v>
      </c>
      <c r="D72">
        <v>6.1981659999999996</v>
      </c>
      <c r="E72">
        <v>9.2637999999999998E-2</v>
      </c>
      <c r="F72">
        <v>1.9000000000000001E-5</v>
      </c>
      <c r="G72">
        <v>2.5808179999999998</v>
      </c>
    </row>
    <row r="73" spans="1:7" x14ac:dyDescent="0.25">
      <c r="A73">
        <v>2.4976259999999999</v>
      </c>
      <c r="B73">
        <v>338.79028299999999</v>
      </c>
      <c r="C73">
        <v>592.05029300000001</v>
      </c>
      <c r="D73">
        <v>6.1682670000000002</v>
      </c>
      <c r="E73">
        <v>9.1322E-2</v>
      </c>
      <c r="F73">
        <v>2.0999999999999999E-5</v>
      </c>
      <c r="G73">
        <v>2.5632760000000001</v>
      </c>
    </row>
    <row r="74" spans="1:7" x14ac:dyDescent="0.25">
      <c r="A74">
        <v>2.382765</v>
      </c>
      <c r="B74">
        <v>323.23202500000002</v>
      </c>
      <c r="C74">
        <v>597.18158000000005</v>
      </c>
      <c r="D74">
        <v>6.1383669999999997</v>
      </c>
      <c r="E74">
        <v>9.1980000000000006E-2</v>
      </c>
      <c r="F74">
        <v>1.9000000000000001E-5</v>
      </c>
      <c r="G74">
        <v>2.523803</v>
      </c>
    </row>
    <row r="75" spans="1:7" x14ac:dyDescent="0.25">
      <c r="A75">
        <v>2.3129010000000001</v>
      </c>
      <c r="B75">
        <v>312.19650300000001</v>
      </c>
      <c r="C75">
        <v>600.20770300000004</v>
      </c>
      <c r="D75">
        <v>6.1383669999999997</v>
      </c>
      <c r="E75">
        <v>9.0007000000000004E-2</v>
      </c>
      <c r="F75">
        <v>1.8E-5</v>
      </c>
      <c r="G75">
        <v>2.4843320000000002</v>
      </c>
    </row>
    <row r="76" spans="1:7" x14ac:dyDescent="0.25">
      <c r="A76">
        <v>2.3346100000000001</v>
      </c>
      <c r="B76">
        <v>315.45288099999999</v>
      </c>
      <c r="C76">
        <v>602.24707000000001</v>
      </c>
      <c r="D76">
        <v>6.1649450000000003</v>
      </c>
      <c r="E76">
        <v>8.7374999999999994E-2</v>
      </c>
      <c r="F76">
        <v>1.7E-5</v>
      </c>
      <c r="G76">
        <v>2.4360900000000001</v>
      </c>
    </row>
    <row r="77" spans="1:7" x14ac:dyDescent="0.25">
      <c r="A77">
        <v>2.414342</v>
      </c>
      <c r="B77">
        <v>330.10659800000002</v>
      </c>
      <c r="C77">
        <v>603.23388699999998</v>
      </c>
      <c r="D77">
        <v>6.1882000000000001</v>
      </c>
      <c r="E77">
        <v>8.9348999999999998E-2</v>
      </c>
      <c r="F77">
        <v>1.2E-5</v>
      </c>
      <c r="G77">
        <v>2.3790749999999998</v>
      </c>
    </row>
    <row r="78" spans="1:7" x14ac:dyDescent="0.25">
      <c r="A78">
        <v>2.4431560000000001</v>
      </c>
      <c r="B78">
        <v>335.71481299999999</v>
      </c>
      <c r="C78">
        <v>606.85205099999996</v>
      </c>
      <c r="D78">
        <v>6.1882000000000001</v>
      </c>
      <c r="E78">
        <v>8.9348999999999998E-2</v>
      </c>
      <c r="F78">
        <v>1.2E-5</v>
      </c>
      <c r="G78">
        <v>2.3352189999999999</v>
      </c>
    </row>
    <row r="79" spans="1:7" x14ac:dyDescent="0.25">
      <c r="A79">
        <v>2.45105</v>
      </c>
      <c r="B79">
        <v>338.42846700000001</v>
      </c>
      <c r="C79">
        <v>610.40448000000004</v>
      </c>
      <c r="D79">
        <v>6.1882000000000001</v>
      </c>
      <c r="E79">
        <v>8.9348999999999998E-2</v>
      </c>
      <c r="F79">
        <v>1.2999999999999999E-5</v>
      </c>
      <c r="G79">
        <v>2.3001330000000002</v>
      </c>
    </row>
    <row r="80" spans="1:7" x14ac:dyDescent="0.25">
      <c r="A80">
        <v>2.4506549999999998</v>
      </c>
      <c r="B80">
        <v>338.609375</v>
      </c>
      <c r="C80">
        <v>614.87792999999999</v>
      </c>
      <c r="D80">
        <v>6.2014880000000003</v>
      </c>
      <c r="E80">
        <v>9.0663999999999995E-2</v>
      </c>
      <c r="F80">
        <v>1.5999999999999999E-5</v>
      </c>
      <c r="G80">
        <v>2.2606619999999999</v>
      </c>
    </row>
    <row r="81" spans="1:7" x14ac:dyDescent="0.25">
      <c r="A81">
        <v>2.4447350000000001</v>
      </c>
      <c r="B81">
        <v>338.97119099999998</v>
      </c>
      <c r="C81">
        <v>619.02239999999995</v>
      </c>
      <c r="D81">
        <v>6.1848770000000002</v>
      </c>
      <c r="E81">
        <v>9.0007000000000004E-2</v>
      </c>
      <c r="F81">
        <v>1.4E-5</v>
      </c>
      <c r="G81">
        <v>2.2124190000000001</v>
      </c>
    </row>
    <row r="82" spans="1:7" x14ac:dyDescent="0.25">
      <c r="A82">
        <v>2.4522349999999999</v>
      </c>
      <c r="B82">
        <v>340.23757899999998</v>
      </c>
      <c r="C82">
        <v>622.70642099999998</v>
      </c>
      <c r="D82">
        <v>6.2014880000000003</v>
      </c>
      <c r="E82">
        <v>9.1980000000000006E-2</v>
      </c>
      <c r="F82">
        <v>1.2999999999999999E-5</v>
      </c>
      <c r="G82">
        <v>2.186105</v>
      </c>
    </row>
    <row r="83" spans="1:7" x14ac:dyDescent="0.25">
      <c r="A83">
        <v>2.4467080000000001</v>
      </c>
      <c r="B83">
        <v>341.86575299999998</v>
      </c>
      <c r="C83">
        <v>626.982483</v>
      </c>
      <c r="D83">
        <v>6.1981659999999996</v>
      </c>
      <c r="E83">
        <v>9.2637999999999998E-2</v>
      </c>
      <c r="F83">
        <v>1.2999999999999999E-5</v>
      </c>
      <c r="G83">
        <v>2.146633</v>
      </c>
    </row>
    <row r="84" spans="1:7" x14ac:dyDescent="0.25">
      <c r="A84">
        <v>2.4624969999999999</v>
      </c>
      <c r="B84">
        <v>345.12213100000002</v>
      </c>
      <c r="C84">
        <v>630.863831</v>
      </c>
      <c r="D84">
        <v>6.1882000000000001</v>
      </c>
      <c r="E84">
        <v>8.2112000000000004E-2</v>
      </c>
      <c r="F84">
        <v>-7.3399999999999995E-4</v>
      </c>
      <c r="G84">
        <v>2.0983909999999999</v>
      </c>
    </row>
    <row r="85" spans="1:7" x14ac:dyDescent="0.25">
      <c r="A85">
        <v>2.4735490000000002</v>
      </c>
      <c r="B85">
        <v>347.47396900000001</v>
      </c>
      <c r="C85">
        <v>635.13989300000003</v>
      </c>
      <c r="D85">
        <v>6.1948439999999998</v>
      </c>
      <c r="E85">
        <v>8.1453999999999999E-2</v>
      </c>
      <c r="F85">
        <v>-7.0500000000000001E-4</v>
      </c>
      <c r="G85">
        <v>2.0589189999999999</v>
      </c>
    </row>
    <row r="86" spans="1:7" x14ac:dyDescent="0.25">
      <c r="A86">
        <v>2.4814430000000001</v>
      </c>
      <c r="B86">
        <v>349.28308099999998</v>
      </c>
      <c r="C86">
        <v>639.21862799999997</v>
      </c>
      <c r="D86">
        <v>6.1948439999999998</v>
      </c>
      <c r="E86">
        <v>7.9479999999999995E-2</v>
      </c>
      <c r="F86">
        <v>-2.5799999999999998E-4</v>
      </c>
      <c r="G86">
        <v>2.0106769999999998</v>
      </c>
    </row>
    <row r="87" spans="1:7" x14ac:dyDescent="0.25">
      <c r="A87">
        <v>2.4703909999999998</v>
      </c>
      <c r="B87">
        <v>349.10217299999999</v>
      </c>
      <c r="C87">
        <v>643.42889400000001</v>
      </c>
      <c r="D87">
        <v>6.2014880000000003</v>
      </c>
      <c r="E87">
        <v>8.2112000000000004E-2</v>
      </c>
      <c r="F87">
        <v>-8.7999999999999998E-5</v>
      </c>
      <c r="G87">
        <v>1.99447</v>
      </c>
    </row>
    <row r="88" spans="1:7" x14ac:dyDescent="0.25">
      <c r="A88">
        <v>2.4778910000000001</v>
      </c>
      <c r="B88">
        <v>351.27307100000002</v>
      </c>
      <c r="C88">
        <v>647.63915999999995</v>
      </c>
      <c r="D88">
        <v>6.2380319999999996</v>
      </c>
      <c r="E88">
        <v>8.0138000000000001E-2</v>
      </c>
      <c r="F88">
        <v>-2.9E-5</v>
      </c>
      <c r="G88">
        <v>1.985698</v>
      </c>
    </row>
    <row r="89" spans="1:7" x14ac:dyDescent="0.25">
      <c r="A89">
        <v>2.4846010000000001</v>
      </c>
      <c r="B89">
        <v>352.72036700000001</v>
      </c>
      <c r="C89">
        <v>652.04681400000004</v>
      </c>
      <c r="D89">
        <v>6.2147769999999998</v>
      </c>
      <c r="E89">
        <v>8.2112000000000004E-2</v>
      </c>
      <c r="F89">
        <v>-6.0000000000000002E-6</v>
      </c>
      <c r="G89">
        <v>1.975465</v>
      </c>
    </row>
    <row r="90" spans="1:7" x14ac:dyDescent="0.25">
      <c r="A90">
        <v>2.4826269999999999</v>
      </c>
      <c r="B90">
        <v>352.901276</v>
      </c>
      <c r="C90">
        <v>656.520264</v>
      </c>
      <c r="D90">
        <v>6.2313879999999999</v>
      </c>
      <c r="E90">
        <v>8.2769999999999996E-2</v>
      </c>
      <c r="F90">
        <v>1.0000000000000001E-5</v>
      </c>
      <c r="G90">
        <v>1.9666939999999999</v>
      </c>
    </row>
    <row r="91" spans="1:7" x14ac:dyDescent="0.25">
      <c r="A91">
        <v>2.4909159999999999</v>
      </c>
      <c r="B91">
        <v>355.79583700000001</v>
      </c>
      <c r="C91">
        <v>660.862122</v>
      </c>
      <c r="D91">
        <v>6.2180989999999996</v>
      </c>
      <c r="E91">
        <v>8.1453999999999999E-2</v>
      </c>
      <c r="F91">
        <v>1.2999999999999999E-5</v>
      </c>
      <c r="G91">
        <v>1.9571909999999999</v>
      </c>
    </row>
    <row r="92" spans="1:7" x14ac:dyDescent="0.25">
      <c r="A92">
        <v>2.4996</v>
      </c>
      <c r="B92">
        <v>357.96676600000001</v>
      </c>
      <c r="C92">
        <v>664.21716300000003</v>
      </c>
      <c r="D92">
        <v>6.2280660000000001</v>
      </c>
      <c r="E92">
        <v>8.1453999999999999E-2</v>
      </c>
      <c r="F92">
        <v>6.0000000000000002E-6</v>
      </c>
      <c r="G92">
        <v>1.946958</v>
      </c>
    </row>
    <row r="93" spans="1:7" x14ac:dyDescent="0.25">
      <c r="A93">
        <v>2.4996</v>
      </c>
      <c r="B93">
        <v>359.59497099999999</v>
      </c>
      <c r="C93">
        <v>669.01953100000003</v>
      </c>
      <c r="D93">
        <v>6.2214219999999996</v>
      </c>
      <c r="E93">
        <v>8.0796000000000007E-2</v>
      </c>
      <c r="F93">
        <v>1.2999999999999999E-5</v>
      </c>
      <c r="G93">
        <v>1.9338010000000001</v>
      </c>
    </row>
    <row r="94" spans="1:7" x14ac:dyDescent="0.25">
      <c r="A94">
        <v>2.509468</v>
      </c>
      <c r="B94">
        <v>362.12771600000002</v>
      </c>
      <c r="C94">
        <v>673.22985800000004</v>
      </c>
      <c r="D94">
        <v>6.2247440000000003</v>
      </c>
      <c r="E94">
        <v>8.1453999999999999E-2</v>
      </c>
      <c r="F94">
        <v>1.0000000000000001E-5</v>
      </c>
      <c r="G94">
        <v>1.924299</v>
      </c>
    </row>
    <row r="95" spans="1:7" x14ac:dyDescent="0.25">
      <c r="A95">
        <v>2.5118360000000002</v>
      </c>
      <c r="B95">
        <v>362.12771600000002</v>
      </c>
      <c r="C95">
        <v>677.50591999999995</v>
      </c>
      <c r="D95">
        <v>6.2347109999999999</v>
      </c>
      <c r="E95">
        <v>7.5534000000000004E-2</v>
      </c>
      <c r="F95">
        <v>-7.2099999999999996E-4</v>
      </c>
      <c r="G95">
        <v>1.9126030000000001</v>
      </c>
    </row>
    <row r="96" spans="1:7" x14ac:dyDescent="0.25">
      <c r="A96">
        <v>2.5173619999999999</v>
      </c>
      <c r="B96">
        <v>364.117706</v>
      </c>
      <c r="C96">
        <v>681.84777799999995</v>
      </c>
      <c r="D96">
        <v>6.2280660000000001</v>
      </c>
      <c r="E96">
        <v>7.2245000000000004E-2</v>
      </c>
      <c r="F96">
        <v>-7.5000000000000002E-4</v>
      </c>
      <c r="G96">
        <v>1.9016390000000001</v>
      </c>
    </row>
    <row r="97" spans="1:7" x14ac:dyDescent="0.25">
      <c r="A97">
        <v>2.5248620000000002</v>
      </c>
      <c r="B97">
        <v>366.65045199999997</v>
      </c>
      <c r="C97">
        <v>685.79492200000004</v>
      </c>
      <c r="D97">
        <v>6.2247440000000003</v>
      </c>
      <c r="E97">
        <v>7.356E-2</v>
      </c>
      <c r="F97">
        <v>-2.6899999999999998E-4</v>
      </c>
      <c r="G97">
        <v>1.893599</v>
      </c>
    </row>
    <row r="98" spans="1:7" x14ac:dyDescent="0.25">
      <c r="A98">
        <v>2.532756</v>
      </c>
      <c r="B98">
        <v>368.459564</v>
      </c>
      <c r="C98">
        <v>689.939392</v>
      </c>
      <c r="D98">
        <v>6.2313879999999999</v>
      </c>
      <c r="E98">
        <v>7.1586999999999998E-2</v>
      </c>
      <c r="F98">
        <v>-9.1000000000000003E-5</v>
      </c>
      <c r="G98">
        <v>1.8862890000000001</v>
      </c>
    </row>
    <row r="99" spans="1:7" x14ac:dyDescent="0.25">
      <c r="A99">
        <v>2.537493</v>
      </c>
      <c r="B99">
        <v>369.54501299999998</v>
      </c>
      <c r="C99">
        <v>694.67596400000002</v>
      </c>
      <c r="D99">
        <v>6.2280660000000001</v>
      </c>
      <c r="E99">
        <v>7.2901999999999995E-2</v>
      </c>
      <c r="F99">
        <v>-2.0999999999999999E-5</v>
      </c>
      <c r="G99">
        <v>1.876787</v>
      </c>
    </row>
    <row r="100" spans="1:7" x14ac:dyDescent="0.25">
      <c r="A100">
        <v>2.5288089999999999</v>
      </c>
      <c r="B100">
        <v>370.44955399999998</v>
      </c>
      <c r="C100">
        <v>698.88622999999995</v>
      </c>
      <c r="D100">
        <v>6.2380319999999996</v>
      </c>
      <c r="E100">
        <v>6.8296999999999997E-2</v>
      </c>
      <c r="F100">
        <v>3.9999999999999998E-6</v>
      </c>
      <c r="G100">
        <v>1.8672839999999999</v>
      </c>
    </row>
    <row r="101" spans="1:7" x14ac:dyDescent="0.25">
      <c r="A101">
        <v>2.5386769999999999</v>
      </c>
      <c r="B101">
        <v>372.43957499999999</v>
      </c>
      <c r="C101">
        <v>703.09655799999996</v>
      </c>
      <c r="D101">
        <v>6.2380319999999996</v>
      </c>
      <c r="E101">
        <v>7.1586999999999998E-2</v>
      </c>
      <c r="F101">
        <v>1.7E-5</v>
      </c>
      <c r="G101">
        <v>1.857051</v>
      </c>
    </row>
    <row r="102" spans="1:7" x14ac:dyDescent="0.25">
      <c r="A102">
        <v>2.5438079999999998</v>
      </c>
      <c r="B102">
        <v>374.06778000000003</v>
      </c>
      <c r="C102">
        <v>707.37261999999998</v>
      </c>
      <c r="D102">
        <v>6.2247440000000003</v>
      </c>
      <c r="E102">
        <v>7.356E-2</v>
      </c>
      <c r="F102">
        <v>1.9000000000000001E-5</v>
      </c>
      <c r="G102">
        <v>1.849742</v>
      </c>
    </row>
    <row r="103" spans="1:7" x14ac:dyDescent="0.25">
      <c r="A103">
        <v>2.552886</v>
      </c>
      <c r="B103">
        <v>375.87686200000002</v>
      </c>
      <c r="C103">
        <v>711.91180399999996</v>
      </c>
      <c r="D103">
        <v>6.2479990000000001</v>
      </c>
      <c r="E103">
        <v>7.2901999999999995E-2</v>
      </c>
      <c r="F103">
        <v>2.0999999999999999E-5</v>
      </c>
      <c r="G103">
        <v>1.840239</v>
      </c>
    </row>
    <row r="104" spans="1:7" x14ac:dyDescent="0.25">
      <c r="A104">
        <v>2.5556489999999998</v>
      </c>
      <c r="B104">
        <v>377.32415800000001</v>
      </c>
      <c r="C104">
        <v>716.05633499999999</v>
      </c>
      <c r="D104">
        <v>6.2546429999999997</v>
      </c>
      <c r="E104">
        <v>6.9612999999999994E-2</v>
      </c>
      <c r="F104">
        <v>2.1999999999999999E-5</v>
      </c>
      <c r="G104">
        <v>1.8321989999999999</v>
      </c>
    </row>
    <row r="105" spans="1:7" x14ac:dyDescent="0.25">
      <c r="A105">
        <v>2.5580180000000001</v>
      </c>
      <c r="B105">
        <v>377.50503500000002</v>
      </c>
      <c r="C105">
        <v>720.13507100000004</v>
      </c>
      <c r="D105">
        <v>6.2612880000000004</v>
      </c>
      <c r="E105">
        <v>6.8954000000000001E-2</v>
      </c>
      <c r="F105">
        <v>2.3E-5</v>
      </c>
      <c r="G105">
        <v>1.8263510000000001</v>
      </c>
    </row>
    <row r="106" spans="1:7" x14ac:dyDescent="0.25">
      <c r="A106">
        <v>2.5580180000000001</v>
      </c>
      <c r="B106">
        <v>379.67596400000002</v>
      </c>
      <c r="C106">
        <v>724.47692900000004</v>
      </c>
      <c r="D106">
        <v>6.2513209999999999</v>
      </c>
      <c r="E106">
        <v>7.0271E-2</v>
      </c>
      <c r="F106">
        <v>2.0999999999999999E-5</v>
      </c>
      <c r="G106">
        <v>1.8226960000000001</v>
      </c>
    </row>
    <row r="107" spans="1:7" x14ac:dyDescent="0.25">
      <c r="A107">
        <v>2.564333</v>
      </c>
      <c r="B107">
        <v>381.12326000000002</v>
      </c>
      <c r="C107">
        <v>728.68719499999997</v>
      </c>
      <c r="D107">
        <v>6.2579659999999997</v>
      </c>
      <c r="E107">
        <v>6.5665000000000001E-2</v>
      </c>
      <c r="F107">
        <v>-4.9899999999999999E-4</v>
      </c>
      <c r="G107">
        <v>1.8153870000000001</v>
      </c>
    </row>
    <row r="108" spans="1:7" x14ac:dyDescent="0.25">
      <c r="A108">
        <v>2.5730170000000001</v>
      </c>
      <c r="B108">
        <v>384.74145499999997</v>
      </c>
      <c r="C108">
        <v>732.831726</v>
      </c>
      <c r="D108">
        <v>6.2546429999999997</v>
      </c>
      <c r="E108">
        <v>6.1060999999999997E-2</v>
      </c>
      <c r="F108">
        <v>-6.8199999999999999E-4</v>
      </c>
      <c r="G108">
        <v>1.8110010000000001</v>
      </c>
    </row>
    <row r="109" spans="1:7" x14ac:dyDescent="0.25">
      <c r="A109">
        <v>2.5891999999999999</v>
      </c>
      <c r="B109">
        <v>387.63604700000002</v>
      </c>
      <c r="C109">
        <v>736.58148200000005</v>
      </c>
      <c r="D109">
        <v>6.2612880000000004</v>
      </c>
      <c r="E109">
        <v>5.7771999999999997E-2</v>
      </c>
      <c r="F109">
        <v>-4.95E-4</v>
      </c>
      <c r="G109">
        <v>1.8080769999999999</v>
      </c>
    </row>
    <row r="110" spans="1:7" x14ac:dyDescent="0.25">
      <c r="A110">
        <v>2.5919629999999998</v>
      </c>
      <c r="B110">
        <v>388.35968000000003</v>
      </c>
      <c r="C110">
        <v>740.59442100000001</v>
      </c>
      <c r="D110">
        <v>6.2612880000000004</v>
      </c>
      <c r="E110">
        <v>6.1060999999999997E-2</v>
      </c>
      <c r="F110">
        <v>-1.7799999999999999E-4</v>
      </c>
      <c r="G110">
        <v>1.8051539999999999</v>
      </c>
    </row>
    <row r="111" spans="1:7" x14ac:dyDescent="0.25">
      <c r="A111">
        <v>2.5844640000000001</v>
      </c>
      <c r="B111">
        <v>387.99786399999999</v>
      </c>
      <c r="C111">
        <v>745.85730000000001</v>
      </c>
      <c r="D111">
        <v>6.2446770000000003</v>
      </c>
      <c r="E111">
        <v>6.0402999999999998E-2</v>
      </c>
      <c r="F111">
        <v>-5.3000000000000001E-5</v>
      </c>
      <c r="G111">
        <v>1.8036920000000001</v>
      </c>
    </row>
    <row r="112" spans="1:7" x14ac:dyDescent="0.25">
      <c r="A112">
        <v>2.5931470000000001</v>
      </c>
      <c r="B112">
        <v>390.53060900000003</v>
      </c>
      <c r="C112">
        <v>749.40972899999997</v>
      </c>
      <c r="D112">
        <v>6.2513209999999999</v>
      </c>
      <c r="E112">
        <v>6.0402999999999998E-2</v>
      </c>
      <c r="F112">
        <v>-3.9999999999999998E-6</v>
      </c>
      <c r="G112">
        <v>1.8036920000000001</v>
      </c>
    </row>
    <row r="113" spans="1:7" x14ac:dyDescent="0.25">
      <c r="A113">
        <v>2.6049890000000002</v>
      </c>
      <c r="B113">
        <v>393.24426299999999</v>
      </c>
      <c r="C113">
        <v>753.48846400000002</v>
      </c>
      <c r="D113">
        <v>6.2579659999999997</v>
      </c>
      <c r="E113">
        <v>6.1060999999999997E-2</v>
      </c>
      <c r="F113">
        <v>1.2999999999999999E-5</v>
      </c>
      <c r="G113">
        <v>1.802961</v>
      </c>
    </row>
    <row r="114" spans="1:7" x14ac:dyDescent="0.25">
      <c r="A114">
        <v>2.6034099999999998</v>
      </c>
      <c r="B114">
        <v>393.24426299999999</v>
      </c>
      <c r="C114">
        <v>758.22503700000004</v>
      </c>
      <c r="D114">
        <v>6.2579659999999997</v>
      </c>
      <c r="E114">
        <v>6.2376000000000001E-2</v>
      </c>
      <c r="F114">
        <v>1.8E-5</v>
      </c>
      <c r="G114">
        <v>1.805885</v>
      </c>
    </row>
    <row r="115" spans="1:7" x14ac:dyDescent="0.25">
      <c r="A115">
        <v>2.6093299999999999</v>
      </c>
      <c r="B115">
        <v>395.05334499999998</v>
      </c>
      <c r="C115">
        <v>762.30371100000002</v>
      </c>
      <c r="D115">
        <v>6.2579659999999997</v>
      </c>
      <c r="E115">
        <v>6.1060999999999997E-2</v>
      </c>
      <c r="F115">
        <v>2.1999999999999999E-5</v>
      </c>
      <c r="G115">
        <v>1.8036920000000001</v>
      </c>
    </row>
    <row r="116" spans="1:7" x14ac:dyDescent="0.25">
      <c r="A116">
        <v>2.6231460000000002</v>
      </c>
      <c r="B116">
        <v>397.766998</v>
      </c>
      <c r="C116">
        <v>766.38244599999996</v>
      </c>
      <c r="D116">
        <v>6.2612880000000004</v>
      </c>
      <c r="E116">
        <v>5.9087000000000001E-2</v>
      </c>
      <c r="F116">
        <v>2.3E-5</v>
      </c>
      <c r="G116">
        <v>1.8080769999999999</v>
      </c>
    </row>
    <row r="117" spans="1:7" x14ac:dyDescent="0.25">
      <c r="A117">
        <v>2.6195930000000001</v>
      </c>
      <c r="B117">
        <v>398.49063100000001</v>
      </c>
      <c r="C117">
        <v>770.26379399999996</v>
      </c>
      <c r="D117">
        <v>6.2612880000000004</v>
      </c>
      <c r="E117">
        <v>6.1060999999999997E-2</v>
      </c>
      <c r="F117">
        <v>2.3E-5</v>
      </c>
      <c r="G117">
        <v>1.8088089999999999</v>
      </c>
    </row>
    <row r="118" spans="1:7" x14ac:dyDescent="0.25">
      <c r="A118">
        <v>2.629461</v>
      </c>
      <c r="B118">
        <v>400.48065200000002</v>
      </c>
      <c r="C118">
        <v>774.86883499999999</v>
      </c>
      <c r="D118">
        <v>6.2612880000000004</v>
      </c>
      <c r="E118">
        <v>5.9744999999999999E-2</v>
      </c>
      <c r="F118">
        <v>2.3E-5</v>
      </c>
      <c r="G118">
        <v>1.8117319999999999</v>
      </c>
    </row>
    <row r="119" spans="1:7" x14ac:dyDescent="0.25">
      <c r="A119">
        <v>2.6357759999999999</v>
      </c>
      <c r="B119">
        <v>402.65154999999999</v>
      </c>
      <c r="C119">
        <v>778.94757100000004</v>
      </c>
      <c r="D119">
        <v>6.2513209999999999</v>
      </c>
      <c r="E119">
        <v>6.2376000000000001E-2</v>
      </c>
      <c r="F119">
        <v>2.3E-5</v>
      </c>
      <c r="G119">
        <v>1.8161179999999999</v>
      </c>
    </row>
    <row r="120" spans="1:7" x14ac:dyDescent="0.25">
      <c r="A120">
        <v>2.6436709999999999</v>
      </c>
      <c r="B120">
        <v>403.73703</v>
      </c>
      <c r="C120">
        <v>783.15783699999997</v>
      </c>
      <c r="D120">
        <v>6.2612880000000004</v>
      </c>
      <c r="E120">
        <v>6.3691999999999999E-2</v>
      </c>
      <c r="F120">
        <v>2.0999999999999999E-5</v>
      </c>
      <c r="G120">
        <v>1.8212349999999999</v>
      </c>
    </row>
    <row r="121" spans="1:7" x14ac:dyDescent="0.25">
      <c r="A121">
        <v>2.659459</v>
      </c>
      <c r="B121">
        <v>407.17434700000001</v>
      </c>
      <c r="C121">
        <v>787.03918499999997</v>
      </c>
      <c r="D121">
        <v>6.2513209999999999</v>
      </c>
      <c r="E121">
        <v>6.3691999999999999E-2</v>
      </c>
      <c r="F121">
        <v>2.1999999999999999E-5</v>
      </c>
      <c r="G121">
        <v>1.8278129999999999</v>
      </c>
    </row>
    <row r="122" spans="1:7" x14ac:dyDescent="0.25">
      <c r="A122">
        <v>2.659065</v>
      </c>
      <c r="B122">
        <v>407.17434700000001</v>
      </c>
      <c r="C122">
        <v>791.51257299999997</v>
      </c>
      <c r="D122">
        <v>6.2313879999999999</v>
      </c>
      <c r="E122">
        <v>6.0402999999999998E-2</v>
      </c>
      <c r="F122">
        <v>2.0999999999999999E-5</v>
      </c>
      <c r="G122">
        <v>1.8321989999999999</v>
      </c>
    </row>
    <row r="123" spans="1:7" x14ac:dyDescent="0.25">
      <c r="A123">
        <v>2.655907</v>
      </c>
      <c r="B123">
        <v>408.25979599999999</v>
      </c>
      <c r="C123">
        <v>795.72289999999998</v>
      </c>
      <c r="D123">
        <v>6.2280660000000001</v>
      </c>
      <c r="E123">
        <v>6.1718000000000002E-2</v>
      </c>
      <c r="F123">
        <v>2.0999999999999999E-5</v>
      </c>
      <c r="G123">
        <v>1.838047</v>
      </c>
    </row>
    <row r="124" spans="1:7" x14ac:dyDescent="0.25">
      <c r="A124">
        <v>2.6606429999999999</v>
      </c>
      <c r="B124">
        <v>409.34524499999998</v>
      </c>
      <c r="C124">
        <v>799.93316700000003</v>
      </c>
      <c r="D124">
        <v>6.1948439999999998</v>
      </c>
      <c r="E124">
        <v>6.2376000000000001E-2</v>
      </c>
      <c r="F124">
        <v>1.9000000000000001E-5</v>
      </c>
      <c r="G124">
        <v>1.8431630000000001</v>
      </c>
    </row>
    <row r="125" spans="1:7" x14ac:dyDescent="0.25">
      <c r="A125">
        <v>2.680774</v>
      </c>
      <c r="B125">
        <v>413.14437900000001</v>
      </c>
      <c r="C125">
        <v>803.74877900000001</v>
      </c>
      <c r="D125">
        <v>6.2048110000000003</v>
      </c>
      <c r="E125">
        <v>6.1060999999999997E-2</v>
      </c>
      <c r="F125">
        <v>1.7E-5</v>
      </c>
      <c r="G125">
        <v>1.849011</v>
      </c>
    </row>
    <row r="126" spans="1:7" x14ac:dyDescent="0.25">
      <c r="A126">
        <v>2.6902469999999998</v>
      </c>
      <c r="B126">
        <v>415.67712399999999</v>
      </c>
      <c r="C126">
        <v>808.15637200000003</v>
      </c>
      <c r="D126">
        <v>6.1782329999999996</v>
      </c>
      <c r="E126">
        <v>5.9744999999999999E-2</v>
      </c>
      <c r="F126">
        <v>1.4E-5</v>
      </c>
      <c r="G126">
        <v>1.8541270000000001</v>
      </c>
    </row>
    <row r="127" spans="1:7" x14ac:dyDescent="0.25">
      <c r="A127">
        <v>2.687878</v>
      </c>
      <c r="B127">
        <v>415.31530800000002</v>
      </c>
      <c r="C127">
        <v>812.16937299999995</v>
      </c>
      <c r="D127">
        <v>6.1582999999999997</v>
      </c>
      <c r="E127">
        <v>6.1718000000000002E-2</v>
      </c>
      <c r="F127">
        <v>1.2999999999999999E-5</v>
      </c>
      <c r="G127">
        <v>1.8592439999999999</v>
      </c>
    </row>
    <row r="128" spans="1:7" x14ac:dyDescent="0.25">
      <c r="A128">
        <v>2.6930100000000001</v>
      </c>
      <c r="B128">
        <v>417.12435900000003</v>
      </c>
      <c r="C128">
        <v>816.379639</v>
      </c>
      <c r="D128">
        <v>6.1416899999999996</v>
      </c>
      <c r="E128">
        <v>6.1060999999999997E-2</v>
      </c>
      <c r="F128">
        <v>1.0000000000000001E-5</v>
      </c>
      <c r="G128">
        <v>1.8672839999999999</v>
      </c>
    </row>
    <row r="129" spans="1:7" x14ac:dyDescent="0.25">
      <c r="A129">
        <v>2.707614</v>
      </c>
      <c r="B129">
        <v>418.93347199999999</v>
      </c>
      <c r="C129">
        <v>820.58990500000004</v>
      </c>
      <c r="D129">
        <v>6.1018230000000004</v>
      </c>
      <c r="E129">
        <v>6.3691999999999999E-2</v>
      </c>
      <c r="F129">
        <v>1.2999999999999999E-5</v>
      </c>
      <c r="G129">
        <v>1.8745940000000001</v>
      </c>
    </row>
    <row r="130" spans="1:7" x14ac:dyDescent="0.25">
      <c r="A130">
        <v>2.7115610000000001</v>
      </c>
      <c r="B130">
        <v>421.28533900000002</v>
      </c>
      <c r="C130">
        <v>824.734375</v>
      </c>
      <c r="D130">
        <v>6.0752459999999999</v>
      </c>
      <c r="E130">
        <v>5.9087000000000001E-2</v>
      </c>
      <c r="F130">
        <v>1.5999999999999999E-5</v>
      </c>
      <c r="G130">
        <v>1.887751</v>
      </c>
    </row>
    <row r="131" spans="1:7" x14ac:dyDescent="0.25">
      <c r="A131">
        <v>2.7210350000000001</v>
      </c>
      <c r="B131">
        <v>422.370789</v>
      </c>
      <c r="C131">
        <v>829.14209000000005</v>
      </c>
      <c r="D131">
        <v>6.0486690000000003</v>
      </c>
      <c r="E131">
        <v>5.9087000000000001E-2</v>
      </c>
      <c r="F131">
        <v>2.0999999999999999E-5</v>
      </c>
      <c r="G131">
        <v>1.8950610000000001</v>
      </c>
    </row>
    <row r="132" spans="1:7" x14ac:dyDescent="0.25">
      <c r="A132">
        <v>2.7241919999999999</v>
      </c>
      <c r="B132">
        <v>422.55169699999999</v>
      </c>
      <c r="C132">
        <v>833.08923300000004</v>
      </c>
      <c r="D132">
        <v>5.9855479999999996</v>
      </c>
      <c r="E132">
        <v>6.3034000000000007E-2</v>
      </c>
      <c r="F132">
        <v>2.3E-5</v>
      </c>
      <c r="G132">
        <v>1.904563</v>
      </c>
    </row>
    <row r="133" spans="1:7" x14ac:dyDescent="0.25">
      <c r="A133">
        <v>2.7320859999999998</v>
      </c>
      <c r="B133">
        <v>424.72262599999999</v>
      </c>
      <c r="C133">
        <v>837.43102999999996</v>
      </c>
      <c r="D133">
        <v>5.9556480000000001</v>
      </c>
      <c r="E133">
        <v>6.1060999999999997E-2</v>
      </c>
      <c r="F133">
        <v>2.3E-5</v>
      </c>
      <c r="G133">
        <v>1.915527</v>
      </c>
    </row>
    <row r="134" spans="1:7" x14ac:dyDescent="0.25">
      <c r="A134">
        <v>2.7530060000000001</v>
      </c>
      <c r="B134">
        <v>427.617187</v>
      </c>
      <c r="C134">
        <v>841.444031</v>
      </c>
      <c r="D134">
        <v>5.8858819999999996</v>
      </c>
      <c r="E134">
        <v>5.9087000000000001E-2</v>
      </c>
      <c r="F134">
        <v>2.6999999999999999E-5</v>
      </c>
      <c r="G134">
        <v>1.9228369999999999</v>
      </c>
    </row>
    <row r="135" spans="1:7" x14ac:dyDescent="0.25">
      <c r="A135">
        <v>2.7664260000000001</v>
      </c>
      <c r="B135">
        <v>429.96899400000001</v>
      </c>
      <c r="C135">
        <v>845.06225600000005</v>
      </c>
      <c r="D135">
        <v>5.862628</v>
      </c>
      <c r="E135">
        <v>5.9087000000000001E-2</v>
      </c>
      <c r="F135">
        <v>2.1000000000000001E-4</v>
      </c>
      <c r="G135">
        <v>1.932339</v>
      </c>
    </row>
    <row r="136" spans="1:7" x14ac:dyDescent="0.25">
      <c r="A136">
        <v>2.7699790000000002</v>
      </c>
      <c r="B136">
        <v>432.13992300000001</v>
      </c>
      <c r="C136">
        <v>849.667236</v>
      </c>
      <c r="D136">
        <v>5.7895399999999997</v>
      </c>
      <c r="E136">
        <v>6.4350000000000004E-2</v>
      </c>
      <c r="F136">
        <v>5.7899999999999998E-4</v>
      </c>
      <c r="G136">
        <v>1.94038</v>
      </c>
    </row>
    <row r="137" spans="1:7" x14ac:dyDescent="0.25">
      <c r="A137">
        <v>2.7770839999999999</v>
      </c>
      <c r="B137">
        <v>432.32086199999998</v>
      </c>
      <c r="C137">
        <v>854.40386999999998</v>
      </c>
      <c r="D137">
        <v>5.7264179999999998</v>
      </c>
      <c r="E137">
        <v>7.1586999999999998E-2</v>
      </c>
      <c r="F137">
        <v>7.27E-4</v>
      </c>
      <c r="G137">
        <v>1.9506129999999999</v>
      </c>
    </row>
    <row r="138" spans="1:7" x14ac:dyDescent="0.25">
      <c r="A138">
        <v>2.787741</v>
      </c>
      <c r="B138">
        <v>434.67266799999999</v>
      </c>
      <c r="C138">
        <v>858.02203399999996</v>
      </c>
      <c r="D138">
        <v>5.6666189999999999</v>
      </c>
      <c r="E138">
        <v>6.9612999999999994E-2</v>
      </c>
      <c r="F138">
        <v>3.3799999999999998E-4</v>
      </c>
      <c r="G138">
        <v>1.958653</v>
      </c>
    </row>
    <row r="139" spans="1:7" x14ac:dyDescent="0.25">
      <c r="A139">
        <v>2.80945</v>
      </c>
      <c r="B139">
        <v>437.92907700000001</v>
      </c>
      <c r="C139">
        <v>862.16662599999995</v>
      </c>
      <c r="D139">
        <v>5.6101429999999999</v>
      </c>
      <c r="E139">
        <v>7.1586999999999998E-2</v>
      </c>
      <c r="F139">
        <v>1.34E-4</v>
      </c>
      <c r="G139">
        <v>1.968156</v>
      </c>
    </row>
    <row r="140" spans="1:7" x14ac:dyDescent="0.25">
      <c r="A140">
        <v>2.8181340000000001</v>
      </c>
      <c r="B140">
        <v>438.47177099999999</v>
      </c>
      <c r="C140">
        <v>866.50836200000003</v>
      </c>
      <c r="D140">
        <v>5.5171219999999996</v>
      </c>
      <c r="E140">
        <v>7.2245000000000004E-2</v>
      </c>
      <c r="F140">
        <v>5.8999999999999998E-5</v>
      </c>
      <c r="G140">
        <v>1.979851</v>
      </c>
    </row>
    <row r="141" spans="1:7" x14ac:dyDescent="0.25">
      <c r="A141">
        <v>2.825634</v>
      </c>
      <c r="B141">
        <v>440.10000600000001</v>
      </c>
      <c r="C141">
        <v>870.52136199999995</v>
      </c>
      <c r="D141">
        <v>5.4540009999999999</v>
      </c>
      <c r="E141">
        <v>7.0929000000000006E-2</v>
      </c>
      <c r="F141">
        <v>2.9E-5</v>
      </c>
      <c r="G141">
        <v>1.9886219999999999</v>
      </c>
    </row>
    <row r="142" spans="1:7" x14ac:dyDescent="0.25">
      <c r="A142">
        <v>2.8465530000000001</v>
      </c>
      <c r="B142">
        <v>443.35635400000001</v>
      </c>
      <c r="C142">
        <v>874.13958700000001</v>
      </c>
      <c r="D142">
        <v>5.3809129999999996</v>
      </c>
      <c r="E142">
        <v>6.6980999999999999E-2</v>
      </c>
      <c r="F142">
        <v>1.8E-5</v>
      </c>
      <c r="G142">
        <v>1.998856</v>
      </c>
    </row>
    <row r="143" spans="1:7" x14ac:dyDescent="0.25">
      <c r="A143">
        <v>2.8568159999999998</v>
      </c>
      <c r="B143">
        <v>443.71816999999999</v>
      </c>
      <c r="C143">
        <v>878.74462900000003</v>
      </c>
      <c r="D143">
        <v>5.3045030000000004</v>
      </c>
      <c r="E143">
        <v>7.1586999999999998E-2</v>
      </c>
      <c r="F143">
        <v>1.4E-5</v>
      </c>
      <c r="G143">
        <v>2.0501480000000001</v>
      </c>
    </row>
    <row r="144" spans="1:7" x14ac:dyDescent="0.25">
      <c r="A144">
        <v>2.8678680000000001</v>
      </c>
      <c r="B144">
        <v>444.98455799999999</v>
      </c>
      <c r="C144">
        <v>883.15222200000005</v>
      </c>
      <c r="D144">
        <v>5.2114830000000003</v>
      </c>
      <c r="E144">
        <v>7.1586999999999998E-2</v>
      </c>
      <c r="F144">
        <v>1.4E-5</v>
      </c>
      <c r="G144">
        <v>2.094004</v>
      </c>
    </row>
    <row r="145" spans="1:7" x14ac:dyDescent="0.25">
      <c r="A145">
        <v>2.8856299999999999</v>
      </c>
      <c r="B145">
        <v>448.24093599999998</v>
      </c>
      <c r="C145">
        <v>887.09936500000003</v>
      </c>
      <c r="D145">
        <v>5.158328</v>
      </c>
      <c r="E145">
        <v>7.2245000000000004E-2</v>
      </c>
      <c r="F145">
        <v>1.5999999999999999E-5</v>
      </c>
      <c r="G145">
        <v>2.1378620000000002</v>
      </c>
    </row>
    <row r="146" spans="1:7" x14ac:dyDescent="0.25">
      <c r="A146">
        <v>2.8982610000000002</v>
      </c>
      <c r="B146">
        <v>449.32641599999999</v>
      </c>
      <c r="C146">
        <v>891.57287599999995</v>
      </c>
      <c r="D146">
        <v>5.1251059999999997</v>
      </c>
      <c r="E146">
        <v>8.1453999999999999E-2</v>
      </c>
      <c r="F146">
        <v>1.426E-3</v>
      </c>
      <c r="G146">
        <v>2.186105</v>
      </c>
    </row>
    <row r="147" spans="1:7" x14ac:dyDescent="0.25">
      <c r="A147">
        <v>2.9116810000000002</v>
      </c>
      <c r="B147">
        <v>451.13552900000002</v>
      </c>
      <c r="C147">
        <v>895.58575399999995</v>
      </c>
      <c r="D147">
        <v>5.0985279999999999</v>
      </c>
      <c r="E147">
        <v>7.8823000000000004E-2</v>
      </c>
      <c r="F147">
        <v>7.27E-4</v>
      </c>
      <c r="G147">
        <v>2.2343470000000001</v>
      </c>
    </row>
    <row r="148" spans="1:7" x14ac:dyDescent="0.25">
      <c r="A148">
        <v>2.9235220000000002</v>
      </c>
      <c r="B148">
        <v>452.582764</v>
      </c>
      <c r="C148">
        <v>899.40136700000005</v>
      </c>
      <c r="D148">
        <v>5.0653069999999998</v>
      </c>
      <c r="E148">
        <v>8.8033E-2</v>
      </c>
      <c r="F148">
        <v>1.2080000000000001E-3</v>
      </c>
      <c r="G148">
        <v>2.2694329999999998</v>
      </c>
    </row>
    <row r="149" spans="1:7" x14ac:dyDescent="0.25">
      <c r="A149">
        <v>2.9487839999999998</v>
      </c>
      <c r="B149">
        <v>457.467377</v>
      </c>
      <c r="C149">
        <v>903.15112299999998</v>
      </c>
      <c r="D149">
        <v>5.0553400000000002</v>
      </c>
      <c r="E149">
        <v>0.109084</v>
      </c>
      <c r="F149">
        <v>3.0170000000000002E-3</v>
      </c>
      <c r="G149">
        <v>2.3352189999999999</v>
      </c>
    </row>
    <row r="150" spans="1:7" x14ac:dyDescent="0.25">
      <c r="A150">
        <v>2.9629940000000001</v>
      </c>
      <c r="B150">
        <v>459.45736699999998</v>
      </c>
      <c r="C150">
        <v>907.62451199999998</v>
      </c>
      <c r="D150">
        <v>5.0653069999999998</v>
      </c>
      <c r="E150">
        <v>0.13145200000000001</v>
      </c>
      <c r="F150">
        <v>3.9430000000000003E-3</v>
      </c>
      <c r="G150">
        <v>2.370304</v>
      </c>
    </row>
    <row r="151" spans="1:7" x14ac:dyDescent="0.25">
      <c r="A151">
        <v>2.9582570000000001</v>
      </c>
      <c r="B151">
        <v>459.095551</v>
      </c>
      <c r="C151">
        <v>912.29534899999999</v>
      </c>
      <c r="D151">
        <v>5.0653069999999998</v>
      </c>
      <c r="E151">
        <v>0.161713</v>
      </c>
      <c r="F151">
        <v>5.4130000000000003E-3</v>
      </c>
      <c r="G151">
        <v>2.4185479999999999</v>
      </c>
    </row>
    <row r="152" spans="1:7" x14ac:dyDescent="0.25">
      <c r="A152">
        <v>2.955889</v>
      </c>
      <c r="B152">
        <v>460.18099999999998</v>
      </c>
      <c r="C152">
        <v>916.11096199999997</v>
      </c>
      <c r="D152">
        <v>5.0852399999999998</v>
      </c>
      <c r="E152">
        <v>0.19986899999999999</v>
      </c>
      <c r="F152">
        <v>6.3309999999999998E-3</v>
      </c>
      <c r="G152">
        <v>2.449246</v>
      </c>
    </row>
    <row r="153" spans="1:7" x14ac:dyDescent="0.25">
      <c r="A153">
        <v>2.9629940000000001</v>
      </c>
      <c r="B153">
        <v>463.25646999999998</v>
      </c>
      <c r="C153">
        <v>920.38708499999996</v>
      </c>
      <c r="D153">
        <v>5.1217839999999999</v>
      </c>
      <c r="E153">
        <v>0.23144600000000001</v>
      </c>
      <c r="F153">
        <v>6.9150000000000001E-3</v>
      </c>
      <c r="G153">
        <v>2.4931040000000002</v>
      </c>
    </row>
    <row r="154" spans="1:7" x14ac:dyDescent="0.25">
      <c r="A154">
        <v>2.9779930000000001</v>
      </c>
      <c r="B154">
        <v>466.15103099999999</v>
      </c>
      <c r="C154">
        <v>924.46575900000005</v>
      </c>
      <c r="D154">
        <v>5.1516830000000002</v>
      </c>
      <c r="E154">
        <v>0.27026</v>
      </c>
      <c r="F154">
        <v>7.5240000000000003E-3</v>
      </c>
      <c r="G154">
        <v>2.5501179999999999</v>
      </c>
    </row>
    <row r="155" spans="1:7" x14ac:dyDescent="0.25">
      <c r="A155">
        <v>2.984308</v>
      </c>
      <c r="B155">
        <v>468.32195999999999</v>
      </c>
      <c r="C155">
        <v>928.34710700000005</v>
      </c>
      <c r="D155">
        <v>5.198194</v>
      </c>
      <c r="E155">
        <v>0.31433699999999998</v>
      </c>
      <c r="F155">
        <v>7.868E-3</v>
      </c>
      <c r="G155">
        <v>2.6027469999999999</v>
      </c>
    </row>
    <row r="156" spans="1:7" x14ac:dyDescent="0.25">
      <c r="A156">
        <v>2.9894400000000001</v>
      </c>
      <c r="B156">
        <v>469.58831800000002</v>
      </c>
      <c r="C156">
        <v>932.49157700000001</v>
      </c>
      <c r="D156">
        <v>5.2247709999999996</v>
      </c>
      <c r="E156">
        <v>0.35841299999999998</v>
      </c>
      <c r="F156">
        <v>8.8800000000000007E-3</v>
      </c>
      <c r="G156">
        <v>2.6597599999999999</v>
      </c>
    </row>
    <row r="157" spans="1:7" x14ac:dyDescent="0.25">
      <c r="A157">
        <v>2.9878610000000001</v>
      </c>
      <c r="B157">
        <v>470.67379799999998</v>
      </c>
      <c r="C157">
        <v>937.16241500000001</v>
      </c>
      <c r="D157">
        <v>5.234737</v>
      </c>
      <c r="E157">
        <v>0.405779</v>
      </c>
      <c r="F157">
        <v>9.58E-3</v>
      </c>
      <c r="G157">
        <v>2.7080039999999999</v>
      </c>
    </row>
    <row r="158" spans="1:7" x14ac:dyDescent="0.25">
      <c r="A158">
        <v>2.9953609999999999</v>
      </c>
      <c r="B158">
        <v>473.02563500000002</v>
      </c>
      <c r="C158">
        <v>941.24114999999995</v>
      </c>
      <c r="D158">
        <v>5.2779259999999999</v>
      </c>
      <c r="E158">
        <v>0.45511800000000002</v>
      </c>
      <c r="F158">
        <v>9.6080000000000002E-3</v>
      </c>
      <c r="G158">
        <v>2.7518600000000002</v>
      </c>
    </row>
    <row r="159" spans="1:7" x14ac:dyDescent="0.25">
      <c r="A159">
        <v>3.0060180000000001</v>
      </c>
      <c r="B159">
        <v>477.18658399999998</v>
      </c>
      <c r="C159">
        <v>945.05670199999997</v>
      </c>
      <c r="D159">
        <v>5.2779259999999999</v>
      </c>
      <c r="E159">
        <v>0.50511600000000001</v>
      </c>
      <c r="F159">
        <v>1.0349000000000001E-2</v>
      </c>
      <c r="G159">
        <v>2.8176459999999999</v>
      </c>
    </row>
    <row r="160" spans="1:7" x14ac:dyDescent="0.25">
      <c r="A160">
        <v>3.0123329999999999</v>
      </c>
      <c r="B160">
        <v>477.91021699999999</v>
      </c>
      <c r="C160">
        <v>949.26702899999998</v>
      </c>
      <c r="D160">
        <v>5.294537</v>
      </c>
      <c r="E160">
        <v>0.56498099999999996</v>
      </c>
      <c r="F160">
        <v>1.0959999999999999E-2</v>
      </c>
      <c r="G160">
        <v>2.8702749999999999</v>
      </c>
    </row>
    <row r="161" spans="1:7" x14ac:dyDescent="0.25">
      <c r="A161">
        <v>3.0127280000000001</v>
      </c>
      <c r="B161">
        <v>479.53839099999999</v>
      </c>
      <c r="C161">
        <v>953.41156000000001</v>
      </c>
      <c r="D161">
        <v>5.334403</v>
      </c>
      <c r="E161">
        <v>0.62221400000000004</v>
      </c>
      <c r="F161">
        <v>1.1197E-2</v>
      </c>
      <c r="G161">
        <v>2.9404460000000001</v>
      </c>
    </row>
    <row r="162" spans="1:7" x14ac:dyDescent="0.25">
      <c r="A162">
        <v>3.0300950000000002</v>
      </c>
      <c r="B162">
        <v>484.24206500000003</v>
      </c>
      <c r="C162">
        <v>957.35876499999995</v>
      </c>
      <c r="D162">
        <v>5.3775909999999998</v>
      </c>
      <c r="E162">
        <v>0.68010599999999999</v>
      </c>
      <c r="F162">
        <v>1.1861E-2</v>
      </c>
      <c r="G162">
        <v>3.0106169999999999</v>
      </c>
    </row>
    <row r="163" spans="1:7" x14ac:dyDescent="0.25">
      <c r="A163">
        <v>3.0340419999999999</v>
      </c>
      <c r="B163">
        <v>485.87027</v>
      </c>
      <c r="C163">
        <v>961.04266399999995</v>
      </c>
      <c r="D163">
        <v>5.3643020000000003</v>
      </c>
      <c r="E163">
        <v>0.74391799999999997</v>
      </c>
      <c r="F163">
        <v>1.2207000000000001E-2</v>
      </c>
      <c r="G163">
        <v>3.0983309999999999</v>
      </c>
    </row>
    <row r="164" spans="1:7" x14ac:dyDescent="0.25">
      <c r="A164">
        <v>3.039568</v>
      </c>
      <c r="B164">
        <v>488.22210699999999</v>
      </c>
      <c r="C164">
        <v>965.64770499999997</v>
      </c>
      <c r="D164">
        <v>5.4074900000000001</v>
      </c>
      <c r="E164">
        <v>0.80773200000000001</v>
      </c>
      <c r="F164">
        <v>1.2931E-2</v>
      </c>
      <c r="G164">
        <v>3.1641159999999999</v>
      </c>
    </row>
    <row r="165" spans="1:7" x14ac:dyDescent="0.25">
      <c r="A165">
        <v>3.049042</v>
      </c>
      <c r="B165">
        <v>490.93572999999998</v>
      </c>
      <c r="C165">
        <v>969.13433799999996</v>
      </c>
      <c r="D165">
        <v>5.3942019999999999</v>
      </c>
      <c r="E165">
        <v>0.88075400000000004</v>
      </c>
      <c r="F165">
        <v>1.3662000000000001E-2</v>
      </c>
      <c r="G165">
        <v>3.25183</v>
      </c>
    </row>
    <row r="166" spans="1:7" x14ac:dyDescent="0.25">
      <c r="A166">
        <v>3.0585149999999999</v>
      </c>
      <c r="B166">
        <v>493.83029199999999</v>
      </c>
      <c r="C166">
        <v>973.27893100000006</v>
      </c>
      <c r="D166">
        <v>5.4274230000000001</v>
      </c>
      <c r="E166">
        <v>0.95180200000000004</v>
      </c>
      <c r="F166">
        <v>1.4079E-2</v>
      </c>
      <c r="G166">
        <v>3.335159</v>
      </c>
    </row>
    <row r="167" spans="1:7" x14ac:dyDescent="0.25">
      <c r="A167">
        <v>3.0711460000000002</v>
      </c>
      <c r="B167">
        <v>496.54394500000001</v>
      </c>
      <c r="C167">
        <v>977.62078899999995</v>
      </c>
      <c r="D167">
        <v>5.4373899999999997</v>
      </c>
      <c r="E167">
        <v>1.030087</v>
      </c>
      <c r="F167">
        <v>1.5167E-2</v>
      </c>
      <c r="G167">
        <v>3.4404159999999999</v>
      </c>
    </row>
    <row r="168" spans="1:7" x14ac:dyDescent="0.25">
      <c r="A168">
        <v>3.0600930000000002</v>
      </c>
      <c r="B168">
        <v>495.45849600000003</v>
      </c>
      <c r="C168">
        <v>981.69946300000004</v>
      </c>
      <c r="D168">
        <v>5.4606450000000004</v>
      </c>
      <c r="E168">
        <v>1.110347</v>
      </c>
      <c r="F168">
        <v>1.5875E-2</v>
      </c>
      <c r="G168">
        <v>3.5412880000000002</v>
      </c>
    </row>
    <row r="169" spans="1:7" x14ac:dyDescent="0.25">
      <c r="A169">
        <v>3.064435</v>
      </c>
      <c r="B169">
        <v>498.35305799999998</v>
      </c>
      <c r="C169">
        <v>985.84405500000003</v>
      </c>
      <c r="D169">
        <v>5.470612</v>
      </c>
      <c r="E169">
        <v>1.187317</v>
      </c>
      <c r="F169">
        <v>1.6598999999999999E-2</v>
      </c>
      <c r="G169">
        <v>3.6684730000000001</v>
      </c>
    </row>
    <row r="170" spans="1:7" x14ac:dyDescent="0.25">
      <c r="A170">
        <v>3.0786449999999999</v>
      </c>
      <c r="B170">
        <v>501.60943600000002</v>
      </c>
      <c r="C170">
        <v>989.98852499999998</v>
      </c>
      <c r="D170">
        <v>5.4839000000000002</v>
      </c>
      <c r="E170">
        <v>1.279417</v>
      </c>
      <c r="F170">
        <v>1.7337000000000002E-2</v>
      </c>
      <c r="G170">
        <v>3.786886</v>
      </c>
    </row>
    <row r="171" spans="1:7" x14ac:dyDescent="0.25">
      <c r="A171">
        <v>3.0928550000000001</v>
      </c>
      <c r="B171">
        <v>505.770355</v>
      </c>
      <c r="C171">
        <v>993.73828100000003</v>
      </c>
      <c r="D171">
        <v>5.4971889999999997</v>
      </c>
      <c r="E171">
        <v>1.3702019999999999</v>
      </c>
      <c r="F171">
        <v>1.7794999999999998E-2</v>
      </c>
      <c r="G171">
        <v>3.9140730000000001</v>
      </c>
    </row>
    <row r="172" spans="1:7" x14ac:dyDescent="0.25">
      <c r="A172">
        <v>3.08575</v>
      </c>
      <c r="B172">
        <v>505.58947799999999</v>
      </c>
      <c r="C172">
        <v>997.88281199999994</v>
      </c>
      <c r="D172">
        <v>5.4905439999999999</v>
      </c>
      <c r="E172">
        <v>1.4682230000000001</v>
      </c>
      <c r="F172">
        <v>1.8752999999999999E-2</v>
      </c>
      <c r="G172">
        <v>4.0441000000000003</v>
      </c>
    </row>
    <row r="173" spans="1:7" x14ac:dyDescent="0.25">
      <c r="A173">
        <v>3.1232479999999998</v>
      </c>
      <c r="B173">
        <v>513.54949999999997</v>
      </c>
      <c r="C173">
        <v>1001.106384</v>
      </c>
      <c r="D173">
        <v>5.4839000000000002</v>
      </c>
      <c r="E173">
        <v>1.5655859999999999</v>
      </c>
      <c r="F173">
        <v>1.9973000000000001E-2</v>
      </c>
      <c r="G173">
        <v>4.152647</v>
      </c>
    </row>
    <row r="174" spans="1:7" x14ac:dyDescent="0.25">
      <c r="A174">
        <v>3.1244320000000001</v>
      </c>
      <c r="B174">
        <v>514.81591800000001</v>
      </c>
      <c r="C174">
        <v>1005.908691</v>
      </c>
      <c r="D174">
        <v>5.4805780000000004</v>
      </c>
      <c r="E174">
        <v>1.6747909999999999</v>
      </c>
      <c r="F174">
        <v>2.1679E-2</v>
      </c>
      <c r="G174">
        <v>4.2743500000000001</v>
      </c>
    </row>
    <row r="175" spans="1:7" x14ac:dyDescent="0.25">
      <c r="A175">
        <v>3.120485</v>
      </c>
      <c r="B175">
        <v>516.26318400000002</v>
      </c>
      <c r="C175">
        <v>1010.711121</v>
      </c>
      <c r="D175">
        <v>5.5237660000000002</v>
      </c>
      <c r="E175">
        <v>1.794521</v>
      </c>
      <c r="F175">
        <v>2.2808999999999999E-2</v>
      </c>
      <c r="G175">
        <v>4.4059210000000002</v>
      </c>
    </row>
    <row r="176" spans="1:7" x14ac:dyDescent="0.25">
      <c r="A176">
        <v>3.1323259999999999</v>
      </c>
      <c r="B176">
        <v>518.43408199999999</v>
      </c>
      <c r="C176">
        <v>1014.26355</v>
      </c>
      <c r="D176">
        <v>5.5137999999999998</v>
      </c>
      <c r="E176">
        <v>1.9122790000000001</v>
      </c>
      <c r="F176">
        <v>2.2984000000000001E-2</v>
      </c>
      <c r="G176">
        <v>4.5342019999999996</v>
      </c>
    </row>
    <row r="177" spans="1:7" x14ac:dyDescent="0.25">
      <c r="A177">
        <v>3.1378520000000001</v>
      </c>
      <c r="B177">
        <v>521.50958300000002</v>
      </c>
      <c r="C177">
        <v>1018.4738160000001</v>
      </c>
      <c r="D177">
        <v>5.5569879999999996</v>
      </c>
      <c r="E177">
        <v>2.008985</v>
      </c>
      <c r="F177">
        <v>2.1642000000000002E-2</v>
      </c>
      <c r="G177">
        <v>4.6756419999999999</v>
      </c>
    </row>
    <row r="178" spans="1:7" x14ac:dyDescent="0.25">
      <c r="A178">
        <v>3.1394310000000001</v>
      </c>
      <c r="B178">
        <v>524.223206</v>
      </c>
      <c r="C178">
        <v>1022.684082</v>
      </c>
      <c r="D178">
        <v>5.5835650000000001</v>
      </c>
      <c r="E178">
        <v>2.0899009999999998</v>
      </c>
      <c r="F178">
        <v>1.7953E-2</v>
      </c>
      <c r="G178">
        <v>4.8105019999999996</v>
      </c>
    </row>
    <row r="179" spans="1:7" x14ac:dyDescent="0.25">
      <c r="A179">
        <v>3.1556139999999999</v>
      </c>
      <c r="B179">
        <v>527.66052200000001</v>
      </c>
      <c r="C179">
        <v>1026.762817</v>
      </c>
      <c r="D179">
        <v>5.6500089999999998</v>
      </c>
      <c r="E179">
        <v>2.1313469999999999</v>
      </c>
      <c r="F179">
        <v>1.2298999999999999E-2</v>
      </c>
      <c r="G179">
        <v>4.9618080000000004</v>
      </c>
    </row>
    <row r="180" spans="1:7" x14ac:dyDescent="0.25">
      <c r="A180">
        <v>3.1650870000000002</v>
      </c>
      <c r="B180">
        <v>530.19329800000003</v>
      </c>
      <c r="C180">
        <v>1030.7100829999999</v>
      </c>
      <c r="D180">
        <v>5.6632980000000002</v>
      </c>
      <c r="E180">
        <v>2.1510820000000002</v>
      </c>
      <c r="F180">
        <v>6.7930000000000004E-3</v>
      </c>
      <c r="G180">
        <v>5.1098270000000001</v>
      </c>
    </row>
    <row r="181" spans="1:7" x14ac:dyDescent="0.25">
      <c r="A181">
        <v>3.174166</v>
      </c>
      <c r="B181">
        <v>532.90692100000001</v>
      </c>
      <c r="C181">
        <v>1034.9860839999999</v>
      </c>
      <c r="D181">
        <v>5.6998410000000002</v>
      </c>
      <c r="E181">
        <v>2.1629239999999998</v>
      </c>
      <c r="F181">
        <v>3.5439999999999998E-3</v>
      </c>
      <c r="G181">
        <v>5.2742899999999997</v>
      </c>
    </row>
    <row r="182" spans="1:7" x14ac:dyDescent="0.25">
      <c r="A182">
        <v>3.182849</v>
      </c>
      <c r="B182">
        <v>535.25872800000002</v>
      </c>
      <c r="C182">
        <v>1039.393677</v>
      </c>
      <c r="D182">
        <v>5.7363850000000003</v>
      </c>
      <c r="E182">
        <v>2.1708180000000001</v>
      </c>
      <c r="F182">
        <v>2.31E-3</v>
      </c>
      <c r="G182">
        <v>5.4387540000000003</v>
      </c>
    </row>
    <row r="183" spans="1:7" x14ac:dyDescent="0.25">
      <c r="A183">
        <v>3.186007</v>
      </c>
      <c r="B183">
        <v>538.69604500000003</v>
      </c>
      <c r="C183">
        <v>1043.5383300000001</v>
      </c>
      <c r="D183">
        <v>5.7297409999999998</v>
      </c>
      <c r="E183">
        <v>2.1800280000000001</v>
      </c>
      <c r="F183">
        <v>2.2399999999999998E-3</v>
      </c>
      <c r="G183">
        <v>5.6361109999999996</v>
      </c>
    </row>
    <row r="184" spans="1:7" x14ac:dyDescent="0.25">
      <c r="A184">
        <v>3.205743</v>
      </c>
      <c r="B184">
        <v>541.95239300000003</v>
      </c>
      <c r="C184">
        <v>1047.616943</v>
      </c>
      <c r="D184">
        <v>5.7363850000000003</v>
      </c>
      <c r="E184">
        <v>2.1806860000000001</v>
      </c>
      <c r="F184">
        <v>8.7900000000000001E-4</v>
      </c>
      <c r="G184">
        <v>5.8334669999999997</v>
      </c>
    </row>
    <row r="185" spans="1:7" x14ac:dyDescent="0.25">
      <c r="A185">
        <v>3.2069269999999999</v>
      </c>
      <c r="B185">
        <v>543.399719</v>
      </c>
      <c r="C185">
        <v>1051.6298830000001</v>
      </c>
      <c r="D185">
        <v>5.7430289999999999</v>
      </c>
      <c r="E185">
        <v>2.1800280000000001</v>
      </c>
      <c r="F185">
        <v>3.5799999999999997E-4</v>
      </c>
      <c r="G185">
        <v>6.0586419999999999</v>
      </c>
    </row>
    <row r="186" spans="1:7" x14ac:dyDescent="0.25">
      <c r="A186">
        <v>3.2294260000000001</v>
      </c>
      <c r="B186">
        <v>547.92248500000005</v>
      </c>
      <c r="C186">
        <v>1055.5771480000001</v>
      </c>
      <c r="D186">
        <v>5.7197740000000001</v>
      </c>
      <c r="E186">
        <v>2.1905540000000001</v>
      </c>
      <c r="F186">
        <v>1.2999999999999999E-3</v>
      </c>
      <c r="G186">
        <v>6.3568689999999997</v>
      </c>
    </row>
    <row r="187" spans="1:7" x14ac:dyDescent="0.25">
      <c r="A187">
        <v>3.2246890000000001</v>
      </c>
      <c r="B187">
        <v>547.74151600000005</v>
      </c>
      <c r="C187">
        <v>1060.510986</v>
      </c>
      <c r="D187">
        <v>5.7330629999999996</v>
      </c>
      <c r="E187">
        <v>2.1918700000000002</v>
      </c>
      <c r="F187">
        <v>7.9600000000000005E-4</v>
      </c>
      <c r="G187">
        <v>6.6770269999999998</v>
      </c>
    </row>
    <row r="188" spans="1:7" x14ac:dyDescent="0.25">
      <c r="A188">
        <v>3.2294260000000001</v>
      </c>
      <c r="B188">
        <v>549.00793499999997</v>
      </c>
      <c r="C188">
        <v>1065.181885</v>
      </c>
      <c r="D188">
        <v>5.7529960000000004</v>
      </c>
      <c r="E188">
        <v>2.1925279999999998</v>
      </c>
      <c r="F188">
        <v>3.3100000000000002E-4</v>
      </c>
      <c r="G188">
        <v>7.0103390000000001</v>
      </c>
    </row>
    <row r="189" spans="1:7" x14ac:dyDescent="0.25">
      <c r="A189">
        <v>3.242057</v>
      </c>
      <c r="B189">
        <v>550.81701699999996</v>
      </c>
      <c r="C189">
        <v>1069.1948239999999</v>
      </c>
      <c r="D189">
        <v>5.7363850000000003</v>
      </c>
      <c r="E189">
        <v>2.1898970000000002</v>
      </c>
      <c r="F189">
        <v>1.4300000000000001E-4</v>
      </c>
      <c r="G189">
        <v>7.3217249999999998</v>
      </c>
    </row>
    <row r="190" spans="1:7" x14ac:dyDescent="0.25">
      <c r="A190">
        <v>3.2621869999999999</v>
      </c>
      <c r="B190">
        <v>555.70159899999999</v>
      </c>
      <c r="C190">
        <v>1072.878784</v>
      </c>
      <c r="D190">
        <v>5.7330629999999996</v>
      </c>
      <c r="E190">
        <v>2.1912120000000002</v>
      </c>
      <c r="F190">
        <v>8.0000000000000007E-5</v>
      </c>
      <c r="G190">
        <v>7.6199539999999999</v>
      </c>
    </row>
    <row r="191" spans="1:7" x14ac:dyDescent="0.25">
      <c r="A191">
        <v>3.2767909999999998</v>
      </c>
      <c r="B191">
        <v>559.13885500000004</v>
      </c>
      <c r="C191">
        <v>1076.8917240000001</v>
      </c>
      <c r="D191">
        <v>5.7297409999999998</v>
      </c>
      <c r="E191">
        <v>2.1977899999999999</v>
      </c>
      <c r="F191">
        <v>1.196E-3</v>
      </c>
      <c r="G191">
        <v>7.9532660000000002</v>
      </c>
    </row>
    <row r="192" spans="1:7" x14ac:dyDescent="0.25">
      <c r="A192">
        <v>3.2846860000000002</v>
      </c>
      <c r="B192">
        <v>560.58612100000005</v>
      </c>
      <c r="C192">
        <v>1081.6282960000001</v>
      </c>
      <c r="D192">
        <v>5.7397070000000001</v>
      </c>
      <c r="E192">
        <v>2.1977899999999999</v>
      </c>
      <c r="F192">
        <v>7.4399999999999998E-4</v>
      </c>
      <c r="G192">
        <v>8.2734240000000003</v>
      </c>
    </row>
    <row r="193" spans="1:7" x14ac:dyDescent="0.25">
      <c r="A193">
        <v>3.2850799999999998</v>
      </c>
      <c r="B193">
        <v>560.94799799999998</v>
      </c>
      <c r="C193">
        <v>1086.101807</v>
      </c>
      <c r="D193">
        <v>5.6998410000000002</v>
      </c>
      <c r="E193">
        <v>2.197133</v>
      </c>
      <c r="F193">
        <v>3.1E-4</v>
      </c>
      <c r="G193">
        <v>8.5848080000000007</v>
      </c>
    </row>
    <row r="194" spans="1:7" x14ac:dyDescent="0.25">
      <c r="A194">
        <v>3.2823169999999999</v>
      </c>
      <c r="B194">
        <v>560.58612100000005</v>
      </c>
      <c r="C194">
        <v>1090.312134</v>
      </c>
      <c r="D194">
        <v>5.7131299999999996</v>
      </c>
      <c r="E194">
        <v>2.199106</v>
      </c>
      <c r="F194">
        <v>1.34E-4</v>
      </c>
      <c r="G194">
        <v>8.891807</v>
      </c>
    </row>
    <row r="195" spans="1:7" x14ac:dyDescent="0.25">
      <c r="A195">
        <v>3.2925800000000001</v>
      </c>
      <c r="B195">
        <v>563.48071300000004</v>
      </c>
      <c r="C195">
        <v>1094.193481</v>
      </c>
      <c r="D195">
        <v>5.6998410000000002</v>
      </c>
      <c r="E195">
        <v>2.2102900000000001</v>
      </c>
      <c r="F195">
        <v>1.601E-3</v>
      </c>
      <c r="G195">
        <v>9.1900370000000002</v>
      </c>
    </row>
    <row r="196" spans="1:7" x14ac:dyDescent="0.25">
      <c r="A196">
        <v>3.3202099999999999</v>
      </c>
      <c r="B196">
        <v>567.82257100000004</v>
      </c>
      <c r="C196">
        <v>1098.0748289999999</v>
      </c>
      <c r="D196">
        <v>5.7064859999999999</v>
      </c>
      <c r="E196">
        <v>2.2102900000000001</v>
      </c>
      <c r="F196">
        <v>6.5899999999999997E-4</v>
      </c>
      <c r="G196">
        <v>9.4794929999999997</v>
      </c>
    </row>
    <row r="197" spans="1:7" x14ac:dyDescent="0.25">
      <c r="A197">
        <v>3.3253409999999999</v>
      </c>
      <c r="B197">
        <v>569.993469</v>
      </c>
      <c r="C197">
        <v>1102.8114009999999</v>
      </c>
      <c r="D197">
        <v>5.6998410000000002</v>
      </c>
      <c r="E197">
        <v>2.211605</v>
      </c>
      <c r="F197">
        <v>2.6800000000000001E-4</v>
      </c>
      <c r="G197">
        <v>9.7689489999999992</v>
      </c>
    </row>
    <row r="198" spans="1:7" x14ac:dyDescent="0.25">
      <c r="A198">
        <v>3.334419</v>
      </c>
      <c r="B198">
        <v>571.62164299999995</v>
      </c>
      <c r="C198">
        <v>1107.350586</v>
      </c>
      <c r="D198">
        <v>5.703163</v>
      </c>
      <c r="E198">
        <v>2.2109480000000001</v>
      </c>
      <c r="F198">
        <v>1.17E-4</v>
      </c>
      <c r="G198">
        <v>10.081032</v>
      </c>
    </row>
    <row r="199" spans="1:7" x14ac:dyDescent="0.25">
      <c r="A199">
        <v>3.3411300000000002</v>
      </c>
      <c r="B199">
        <v>573.24993900000004</v>
      </c>
      <c r="C199">
        <v>1111.2978519999999</v>
      </c>
      <c r="D199">
        <v>5.7496729999999996</v>
      </c>
      <c r="E199">
        <v>2.2109480000000001</v>
      </c>
      <c r="F199">
        <v>6.0000000000000002E-5</v>
      </c>
      <c r="G199">
        <v>10.475743</v>
      </c>
    </row>
    <row r="200" spans="1:7" x14ac:dyDescent="0.25">
      <c r="A200">
        <v>3.3628390000000001</v>
      </c>
      <c r="B200">
        <v>578.31536900000003</v>
      </c>
      <c r="C200">
        <v>1115.1134030000001</v>
      </c>
      <c r="D200">
        <v>5.7264179999999998</v>
      </c>
      <c r="E200">
        <v>2.2083159999999999</v>
      </c>
      <c r="F200">
        <v>3.8999999999999999E-5</v>
      </c>
      <c r="G200">
        <v>10.870455</v>
      </c>
    </row>
    <row r="201" spans="1:7" x14ac:dyDescent="0.25">
      <c r="A201">
        <v>3.367181</v>
      </c>
      <c r="B201">
        <v>578.85809300000005</v>
      </c>
      <c r="C201">
        <v>1119.5867920000001</v>
      </c>
      <c r="D201">
        <v>5.7430289999999999</v>
      </c>
      <c r="E201">
        <v>2.2083159999999999</v>
      </c>
      <c r="F201">
        <v>3.1000000000000001E-5</v>
      </c>
      <c r="G201">
        <v>11.232279</v>
      </c>
    </row>
    <row r="202" spans="1:7" x14ac:dyDescent="0.25">
      <c r="A202">
        <v>3.3742860000000001</v>
      </c>
      <c r="B202">
        <v>581.20989999999995</v>
      </c>
      <c r="C202">
        <v>1124.323486</v>
      </c>
      <c r="D202">
        <v>5.7297409999999998</v>
      </c>
      <c r="E202">
        <v>2.208974</v>
      </c>
      <c r="F202">
        <v>2.6999999999999999E-5</v>
      </c>
      <c r="G202">
        <v>11.561206</v>
      </c>
    </row>
    <row r="203" spans="1:7" x14ac:dyDescent="0.25">
      <c r="A203">
        <v>3.3711280000000001</v>
      </c>
      <c r="B203">
        <v>581.20989999999995</v>
      </c>
      <c r="C203">
        <v>1128.139038</v>
      </c>
      <c r="D203">
        <v>5.7363850000000003</v>
      </c>
      <c r="E203">
        <v>2.2083159999999999</v>
      </c>
      <c r="F203">
        <v>2.5000000000000001E-5</v>
      </c>
      <c r="G203">
        <v>11.883557</v>
      </c>
    </row>
    <row r="204" spans="1:7" x14ac:dyDescent="0.25">
      <c r="A204">
        <v>3.4007320000000001</v>
      </c>
      <c r="B204">
        <v>586.99902299999997</v>
      </c>
      <c r="C204">
        <v>1131.82312</v>
      </c>
      <c r="D204">
        <v>5.7629619999999999</v>
      </c>
      <c r="E204">
        <v>2.2102900000000001</v>
      </c>
      <c r="F204">
        <v>2.1999999999999999E-5</v>
      </c>
      <c r="G204">
        <v>12.133539000000001</v>
      </c>
    </row>
    <row r="205" spans="1:7" x14ac:dyDescent="0.25">
      <c r="A205">
        <v>3.4149409999999998</v>
      </c>
      <c r="B205">
        <v>590.43633999999997</v>
      </c>
      <c r="C205">
        <v>1135.967529</v>
      </c>
      <c r="D205">
        <v>5.7995070000000002</v>
      </c>
      <c r="E205">
        <v>2.211605</v>
      </c>
      <c r="F205">
        <v>2.5999999999999998E-5</v>
      </c>
      <c r="G205">
        <v>12.330897</v>
      </c>
    </row>
    <row r="206" spans="1:7" x14ac:dyDescent="0.25">
      <c r="A206">
        <v>3.4212570000000002</v>
      </c>
      <c r="B206">
        <v>592.24542199999996</v>
      </c>
      <c r="C206">
        <v>1140.5726320000001</v>
      </c>
      <c r="D206">
        <v>5.8094729999999997</v>
      </c>
      <c r="E206">
        <v>2.211605</v>
      </c>
      <c r="F206">
        <v>2.5000000000000001E-5</v>
      </c>
      <c r="G206">
        <v>12.475626999999999</v>
      </c>
    </row>
    <row r="207" spans="1:7" x14ac:dyDescent="0.25">
      <c r="A207">
        <v>3.4153359999999999</v>
      </c>
      <c r="B207">
        <v>592.42639199999996</v>
      </c>
      <c r="C207">
        <v>1145.177612</v>
      </c>
      <c r="D207">
        <v>5.859305</v>
      </c>
      <c r="E207">
        <v>2.2109480000000001</v>
      </c>
      <c r="F207">
        <v>2.5000000000000001E-5</v>
      </c>
      <c r="G207">
        <v>12.607196</v>
      </c>
    </row>
    <row r="208" spans="1:7" x14ac:dyDescent="0.25">
      <c r="A208">
        <v>3.4137569999999999</v>
      </c>
      <c r="B208">
        <v>592.60730000000001</v>
      </c>
      <c r="C208">
        <v>1149.716797</v>
      </c>
      <c r="D208">
        <v>5.8526610000000003</v>
      </c>
      <c r="E208">
        <v>2.2122630000000001</v>
      </c>
      <c r="F208">
        <v>2.3E-5</v>
      </c>
      <c r="G208">
        <v>12.659824</v>
      </c>
    </row>
    <row r="209" spans="1:7" x14ac:dyDescent="0.25">
      <c r="A209">
        <v>3.4137569999999999</v>
      </c>
      <c r="B209">
        <v>593.87365699999998</v>
      </c>
      <c r="C209">
        <v>1153.9929199999999</v>
      </c>
      <c r="D209">
        <v>5.8925270000000003</v>
      </c>
      <c r="E209">
        <v>2.2109480000000001</v>
      </c>
      <c r="F209">
        <v>2.5000000000000001E-5</v>
      </c>
      <c r="G209">
        <v>12.699297</v>
      </c>
    </row>
    <row r="210" spans="1:7" x14ac:dyDescent="0.25">
      <c r="A210">
        <v>3.4224410000000001</v>
      </c>
      <c r="B210">
        <v>595.32098399999995</v>
      </c>
      <c r="C210">
        <v>1157.940063</v>
      </c>
      <c r="D210">
        <v>5.9257479999999996</v>
      </c>
      <c r="E210">
        <v>2.2109480000000001</v>
      </c>
      <c r="F210">
        <v>2.5000000000000001E-5</v>
      </c>
      <c r="G210">
        <v>12.705876999999999</v>
      </c>
    </row>
    <row r="211" spans="1:7" x14ac:dyDescent="0.25">
      <c r="A211">
        <v>3.45757</v>
      </c>
      <c r="B211">
        <v>599.48187299999995</v>
      </c>
      <c r="C211">
        <v>1161.8214109999999</v>
      </c>
      <c r="D211">
        <v>5.9390369999999999</v>
      </c>
      <c r="E211">
        <v>2.208974</v>
      </c>
      <c r="F211">
        <v>2.1999999999999999E-5</v>
      </c>
      <c r="G211">
        <v>12.699297</v>
      </c>
    </row>
    <row r="212" spans="1:7" x14ac:dyDescent="0.25">
      <c r="A212">
        <v>3.480464</v>
      </c>
      <c r="B212">
        <v>604.54736300000002</v>
      </c>
      <c r="C212">
        <v>1165.1766359999999</v>
      </c>
      <c r="D212">
        <v>6.0187689999999998</v>
      </c>
      <c r="E212">
        <v>2.2102900000000001</v>
      </c>
      <c r="F212">
        <v>2.3E-5</v>
      </c>
      <c r="G212">
        <v>12.666404999999999</v>
      </c>
    </row>
    <row r="213" spans="1:7" x14ac:dyDescent="0.25">
      <c r="A213">
        <v>2.4352619999999998</v>
      </c>
      <c r="B213">
        <v>352.358521</v>
      </c>
      <c r="C213">
        <v>1169.781616</v>
      </c>
      <c r="D213">
        <v>5.9523260000000002</v>
      </c>
      <c r="E213">
        <v>2.2109480000000001</v>
      </c>
      <c r="F213">
        <v>1.5999999999999999E-5</v>
      </c>
      <c r="G213">
        <v>12.640088</v>
      </c>
    </row>
    <row r="214" spans="1:7" x14ac:dyDescent="0.25">
      <c r="A214">
        <v>4.7641999999999997E-2</v>
      </c>
      <c r="B214">
        <v>4.1065209999999999</v>
      </c>
      <c r="C214">
        <v>1159.124268</v>
      </c>
      <c r="D214">
        <v>4.8925539999999996</v>
      </c>
      <c r="E214">
        <v>2.2569979999999998</v>
      </c>
      <c r="F214">
        <v>5.3920000000000001E-3</v>
      </c>
      <c r="G214">
        <v>12.271687999999999</v>
      </c>
    </row>
    <row r="215" spans="1:7" x14ac:dyDescent="0.25">
      <c r="A215">
        <v>1.4486000000000001E-2</v>
      </c>
      <c r="B215">
        <v>-1.139872</v>
      </c>
      <c r="C215">
        <v>1121.8236079999999</v>
      </c>
      <c r="D215">
        <v>4.8128219999999997</v>
      </c>
      <c r="E215">
        <v>2.3089689999999998</v>
      </c>
      <c r="F215">
        <v>8.1989999999999997E-3</v>
      </c>
      <c r="G215">
        <v>11.377003999999999</v>
      </c>
    </row>
    <row r="216" spans="1:7" x14ac:dyDescent="0.25">
      <c r="A216">
        <v>8.1700000000000002E-3</v>
      </c>
      <c r="B216">
        <v>-1.6826030000000001</v>
      </c>
      <c r="C216">
        <v>1079.9837649999999</v>
      </c>
      <c r="D216">
        <v>4.8161440000000004</v>
      </c>
      <c r="E216">
        <v>2.3392309999999998</v>
      </c>
      <c r="F216">
        <v>7.1139999999999997E-3</v>
      </c>
      <c r="G216">
        <v>10.127079999999999</v>
      </c>
    </row>
  </sheetData>
  <pageMargins left="0.7" right="0.7" top="0.75" bottom="0.75" header="0.3" footer="0.3"/>
</worksheet>
</file>